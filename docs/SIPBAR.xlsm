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IPBAR\docs\"/>
    </mc:Choice>
  </mc:AlternateContent>
  <xr:revisionPtr revIDLastSave="0" documentId="13_ncr:1_{393C8F4E-680F-41D8-86B7-893E3E3D4680}" xr6:coauthVersionLast="47" xr6:coauthVersionMax="47" xr10:uidLastSave="{00000000-0000-0000-0000-000000000000}"/>
  <bookViews>
    <workbookView xWindow="-110" yWindow="-110" windowWidth="19420" windowHeight="11020" tabRatio="906" xr2:uid="{00000000-000D-0000-FFFF-FFFF00000000}"/>
  </bookViews>
  <sheets>
    <sheet name="MENU" sheetId="1" r:id="rId1"/>
    <sheet name="DATABARANG" sheetId="2" r:id="rId2"/>
    <sheet name="BARANGMASUK" sheetId="11" r:id="rId3"/>
    <sheet name="BARANGKELUAR" sheetId="4" r:id="rId4"/>
    <sheet name="CARIBARANG" sheetId="5" r:id="rId5"/>
    <sheet name="CARIMASUK" sheetId="6" r:id="rId6"/>
    <sheet name="CARIKELUAR" sheetId="7" r:id="rId7"/>
    <sheet name="TERIMA" sheetId="18" state="hidden" r:id="rId8"/>
    <sheet name="TERIMA NEW" sheetId="19" r:id="rId9"/>
  </sheets>
  <definedNames>
    <definedName name="_xlnm._FilterDatabase" localSheetId="3" hidden="1">BARANGKELUAR!$A$3:$K$489</definedName>
    <definedName name="_xlnm._FilterDatabase" localSheetId="2" hidden="1">BARANGMASUK!$A$3:$I$650</definedName>
    <definedName name="_xlnm._FilterDatabase" localSheetId="6" hidden="1">CARIKELUAR!$A$1:$I$2</definedName>
    <definedName name="_xlnm._FilterDatabase" localSheetId="1" hidden="1">DATABARANG!$A$3:$G$319</definedName>
    <definedName name="_xlnm.Criteria" localSheetId="4">CARIBARANG!$I$1:$I$2</definedName>
    <definedName name="_xlnm.Criteria" localSheetId="6">CARIKELUAR!$L$1:$L$2</definedName>
    <definedName name="_xlnm.Criteria" localSheetId="5">CARIMASUK!$K$1:$K$2</definedName>
    <definedName name="_xlnm.Criteria" localSheetId="1">DATABARANG!$I$3:$I$4</definedName>
    <definedName name="_xlnm.Extract" localSheetId="4">CARIBARANG!$A$1:$G$1</definedName>
    <definedName name="_xlnm.Extract" localSheetId="6">CARIKELUAR!$A$1:$I$1</definedName>
    <definedName name="_xlnm.Extract" localSheetId="5">CARIMASUK!$A$1:$I$1</definedName>
    <definedName name="_xlnm.Extract" localSheetId="1">DATABARANG!$K$3:$Q$3</definedName>
    <definedName name="_xlnm.Print_Area" localSheetId="6">CARIKELUAR!$A$1:$I$34</definedName>
    <definedName name="_xlnm.Print_Area" localSheetId="5">CARIMASUK!$A:$I</definedName>
    <definedName name="_xlnm.Print_Area" localSheetId="7">TERIMA!$A$1:$E$47</definedName>
    <definedName name="_xlnm.Print_Area" localSheetId="8">'TERIMA NEW'!$A$1:$H$64</definedName>
    <definedName name="_xlnm.Print_Titles" localSheetId="2">BARANGMASUK!$3:$3</definedName>
    <definedName name="_xlnm.Print_Titles" localSheetId="8">'TERIMA NEW'!$9:$9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489" i="4" l="1"/>
  <c r="A650" i="11"/>
  <c r="A488" i="4"/>
  <c r="A487" i="4"/>
  <c r="A486" i="4"/>
  <c r="A485" i="4"/>
  <c r="A484" i="4"/>
  <c r="A483" i="4"/>
  <c r="A649" i="11"/>
  <c r="A648" i="11"/>
  <c r="A647" i="11"/>
  <c r="A646" i="11"/>
  <c r="A482" i="4"/>
  <c r="A481" i="4"/>
  <c r="A480" i="4"/>
  <c r="A479" i="4"/>
  <c r="A478" i="4"/>
  <c r="A477" i="4"/>
  <c r="A645" i="11"/>
  <c r="A644" i="11"/>
  <c r="A319" i="2"/>
  <c r="A643" i="11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642" i="11"/>
  <c r="A641" i="11"/>
  <c r="A640" i="11"/>
  <c r="A639" i="11"/>
  <c r="A638" i="11"/>
  <c r="A637" i="11"/>
  <c r="A636" i="11"/>
  <c r="A635" i="11"/>
  <c r="A634" i="11"/>
  <c r="A633" i="11"/>
  <c r="A632" i="11"/>
  <c r="A318" i="2"/>
  <c r="A317" i="2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0" i="4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316" i="2"/>
  <c r="A315" i="2"/>
  <c r="A314" i="2"/>
  <c r="A313" i="2"/>
  <c r="A312" i="2"/>
  <c r="A311" i="2"/>
  <c r="A310" i="2"/>
  <c r="A604" i="11"/>
  <c r="A603" i="11"/>
  <c r="A309" i="2"/>
  <c r="A308" i="2"/>
  <c r="A602" i="11"/>
  <c r="A601" i="11"/>
  <c r="A600" i="11"/>
  <c r="A424" i="4"/>
  <c r="A423" i="4"/>
  <c r="A422" i="4"/>
  <c r="A421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599" i="11"/>
  <c r="A598" i="11"/>
  <c r="A597" i="11"/>
  <c r="A307" i="2"/>
  <c r="A306" i="2"/>
  <c r="A596" i="11"/>
  <c r="A595" i="11"/>
  <c r="A594" i="11"/>
  <c r="A593" i="11"/>
  <c r="A592" i="11"/>
  <c r="A591" i="11"/>
  <c r="A589" i="11"/>
  <c r="A305" i="2"/>
  <c r="A590" i="11"/>
  <c r="A588" i="11"/>
  <c r="A304" i="2"/>
  <c r="A587" i="11"/>
  <c r="A586" i="11"/>
  <c r="A303" i="2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585" i="11"/>
  <c r="A584" i="11"/>
  <c r="A583" i="11"/>
  <c r="A582" i="11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572" i="11"/>
  <c r="A302" i="2"/>
  <c r="A577" i="11"/>
  <c r="A580" i="11"/>
  <c r="A579" i="11"/>
  <c r="A578" i="11"/>
  <c r="A301" i="2"/>
  <c r="A300" i="2"/>
  <c r="A299" i="2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581" i="11"/>
  <c r="A574" i="11"/>
  <c r="A573" i="11"/>
  <c r="A298" i="2"/>
  <c r="A297" i="2"/>
  <c r="A576" i="11"/>
  <c r="A575" i="11"/>
  <c r="A307" i="4"/>
  <c r="A306" i="4"/>
  <c r="A305" i="4"/>
  <c r="A304" i="4"/>
  <c r="A303" i="4"/>
  <c r="A302" i="4"/>
  <c r="A301" i="4"/>
  <c r="A571" i="11"/>
  <c r="A296" i="2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570" i="11"/>
  <c r="A295" i="2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294" i="2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293" i="2"/>
  <c r="A543" i="11"/>
  <c r="A255" i="4"/>
  <c r="A279" i="4"/>
  <c r="A278" i="4"/>
  <c r="A542" i="11"/>
  <c r="A292" i="2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41" i="4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471" i="11"/>
  <c r="A251" i="2"/>
  <c r="A470" i="11"/>
  <c r="A250" i="2"/>
  <c r="A469" i="11"/>
  <c r="A249" i="2"/>
  <c r="A468" i="11"/>
  <c r="A467" i="11"/>
  <c r="A466" i="11"/>
  <c r="A465" i="11"/>
  <c r="A464" i="11"/>
  <c r="A248" i="2"/>
  <c r="A247" i="2"/>
  <c r="A463" i="11"/>
  <c r="A462" i="11"/>
  <c r="A461" i="11"/>
  <c r="A460" i="11"/>
  <c r="A459" i="11"/>
  <c r="A458" i="11"/>
  <c r="A457" i="11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456" i="11"/>
  <c r="A455" i="11"/>
  <c r="A454" i="11"/>
  <c r="A246" i="2"/>
  <c r="A453" i="11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08" i="4"/>
  <c r="A431" i="11"/>
  <c r="A211" i="4"/>
  <c r="A210" i="4"/>
  <c r="A209" i="4"/>
  <c r="A207" i="4"/>
  <c r="A206" i="4"/>
  <c r="A205" i="4"/>
  <c r="A204" i="4"/>
  <c r="A203" i="4"/>
  <c r="A202" i="4"/>
  <c r="A201" i="4"/>
  <c r="A200" i="4"/>
  <c r="E56" i="19"/>
  <c r="D56" i="19"/>
  <c r="C56" i="19"/>
  <c r="B56" i="19"/>
  <c r="A56" i="19" s="1"/>
  <c r="E55" i="19"/>
  <c r="D55" i="19"/>
  <c r="C55" i="19"/>
  <c r="B55" i="19"/>
  <c r="A55" i="19" s="1"/>
  <c r="E54" i="19"/>
  <c r="D54" i="19"/>
  <c r="C54" i="19"/>
  <c r="B54" i="19"/>
  <c r="A54" i="19" s="1"/>
  <c r="E53" i="19"/>
  <c r="D53" i="19"/>
  <c r="C53" i="19"/>
  <c r="B53" i="19"/>
  <c r="A53" i="19" s="1"/>
  <c r="E52" i="19"/>
  <c r="D52" i="19"/>
  <c r="C52" i="19"/>
  <c r="B52" i="19"/>
  <c r="A52" i="19" s="1"/>
  <c r="E51" i="19"/>
  <c r="D51" i="19"/>
  <c r="C51" i="19"/>
  <c r="B51" i="19"/>
  <c r="A51" i="19" s="1"/>
  <c r="E50" i="19"/>
  <c r="D50" i="19"/>
  <c r="C50" i="19"/>
  <c r="B50" i="19"/>
  <c r="A50" i="19" s="1"/>
  <c r="E49" i="19"/>
  <c r="D49" i="19"/>
  <c r="C49" i="19"/>
  <c r="B49" i="19"/>
  <c r="A49" i="19" s="1"/>
  <c r="E48" i="19"/>
  <c r="D48" i="19"/>
  <c r="C48" i="19"/>
  <c r="B48" i="19"/>
  <c r="A48" i="19" s="1"/>
  <c r="E47" i="19"/>
  <c r="D47" i="19"/>
  <c r="C47" i="19"/>
  <c r="B47" i="19"/>
  <c r="A47" i="19" s="1"/>
  <c r="E46" i="19"/>
  <c r="D46" i="19"/>
  <c r="C46" i="19"/>
  <c r="B46" i="19"/>
  <c r="A46" i="19" s="1"/>
  <c r="E45" i="19"/>
  <c r="D45" i="19"/>
  <c r="C45" i="19"/>
  <c r="B45" i="19"/>
  <c r="A45" i="19" s="1"/>
  <c r="A430" i="11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429" i="11"/>
  <c r="A428" i="11"/>
  <c r="A167" i="4"/>
  <c r="A174" i="4"/>
  <c r="A173" i="4"/>
  <c r="A172" i="4"/>
  <c r="A171" i="4"/>
  <c r="A170" i="4"/>
  <c r="A169" i="4"/>
  <c r="A168" i="4"/>
  <c r="A162" i="4"/>
  <c r="A166" i="4"/>
  <c r="A165" i="4"/>
  <c r="A164" i="4"/>
  <c r="A163" i="4"/>
  <c r="A161" i="4"/>
  <c r="A427" i="11"/>
  <c r="A426" i="11"/>
  <c r="A425" i="11"/>
  <c r="A424" i="11"/>
  <c r="A423" i="11"/>
  <c r="A422" i="11"/>
  <c r="A421" i="11"/>
  <c r="A420" i="11"/>
  <c r="A419" i="11"/>
  <c r="A418" i="11"/>
  <c r="A245" i="2"/>
  <c r="A417" i="11"/>
  <c r="A160" i="4"/>
  <c r="A159" i="4"/>
  <c r="A148" i="4"/>
  <c r="A416" i="11"/>
  <c r="A158" i="4"/>
  <c r="A157" i="4"/>
  <c r="A156" i="4"/>
  <c r="A155" i="4"/>
  <c r="A154" i="4"/>
  <c r="A153" i="4"/>
  <c r="A152" i="4"/>
  <c r="A151" i="4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244" i="2"/>
  <c r="A243" i="2"/>
  <c r="A242" i="2"/>
  <c r="A241" i="2"/>
  <c r="A240" i="2"/>
  <c r="A150" i="4"/>
  <c r="A149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401" i="11"/>
  <c r="A239" i="2"/>
  <c r="A400" i="11"/>
  <c r="A399" i="11"/>
  <c r="A398" i="11"/>
  <c r="A397" i="11"/>
  <c r="A133" i="4"/>
  <c r="A132" i="4"/>
  <c r="A131" i="4"/>
  <c r="A130" i="4"/>
  <c r="A127" i="4"/>
  <c r="A108" i="4"/>
  <c r="A111" i="4"/>
  <c r="A134" i="4"/>
  <c r="A129" i="4"/>
  <c r="A126" i="4"/>
  <c r="A128" i="4"/>
  <c r="A125" i="4"/>
  <c r="A124" i="4"/>
  <c r="A123" i="4"/>
  <c r="A122" i="4"/>
  <c r="A121" i="4"/>
  <c r="A120" i="4"/>
  <c r="A119" i="4"/>
  <c r="A118" i="4"/>
  <c r="A117" i="4"/>
  <c r="A116" i="4"/>
  <c r="A113" i="4"/>
  <c r="A112" i="4"/>
  <c r="A110" i="4"/>
  <c r="A109" i="4"/>
  <c r="A107" i="4"/>
  <c r="A106" i="4"/>
  <c r="A105" i="4"/>
  <c r="A104" i="4"/>
  <c r="A103" i="4"/>
  <c r="A102" i="4"/>
  <c r="A101" i="4"/>
  <c r="A100" i="4"/>
  <c r="A99" i="4"/>
  <c r="A396" i="11"/>
  <c r="A115" i="4"/>
  <c r="A114" i="4"/>
  <c r="A395" i="11"/>
  <c r="A394" i="11"/>
  <c r="A393" i="11"/>
  <c r="A392" i="11"/>
  <c r="A391" i="11"/>
  <c r="A390" i="11"/>
  <c r="A389" i="11"/>
  <c r="A388" i="11"/>
  <c r="A238" i="2"/>
  <c r="A387" i="11"/>
  <c r="A365" i="11"/>
  <c r="A98" i="4"/>
  <c r="A96" i="4"/>
  <c r="A71" i="4"/>
  <c r="A386" i="11"/>
  <c r="A64" i="4"/>
  <c r="A385" i="11"/>
  <c r="A79" i="4"/>
  <c r="A384" i="11"/>
  <c r="A35" i="4"/>
  <c r="A383" i="11"/>
  <c r="A237" i="2"/>
  <c r="A44" i="4"/>
  <c r="A43" i="4"/>
  <c r="A42" i="4"/>
  <c r="A41" i="4"/>
  <c r="A40" i="4"/>
  <c r="A39" i="4"/>
  <c r="A38" i="4"/>
  <c r="A37" i="4"/>
  <c r="A382" i="11"/>
  <c r="A381" i="11"/>
  <c r="A380" i="11"/>
  <c r="A379" i="11"/>
  <c r="A378" i="11"/>
  <c r="A377" i="11"/>
  <c r="A376" i="11"/>
  <c r="A375" i="11"/>
  <c r="A52" i="4"/>
  <c r="A51" i="4"/>
  <c r="A50" i="4"/>
  <c r="A49" i="4"/>
  <c r="A374" i="11"/>
  <c r="A373" i="11"/>
  <c r="A372" i="11"/>
  <c r="A236" i="2"/>
  <c r="A235" i="2"/>
  <c r="A371" i="11"/>
  <c r="A28" i="4"/>
  <c r="A370" i="11"/>
  <c r="A369" i="11"/>
  <c r="A368" i="11"/>
  <c r="A367" i="11"/>
  <c r="A366" i="11"/>
  <c r="A95" i="4"/>
  <c r="A94" i="4"/>
  <c r="A93" i="4"/>
  <c r="A92" i="4"/>
  <c r="A91" i="4"/>
  <c r="A90" i="4"/>
  <c r="A88" i="4"/>
  <c r="A87" i="4"/>
  <c r="A86" i="4"/>
  <c r="A85" i="4"/>
  <c r="A84" i="4"/>
  <c r="A83" i="4"/>
  <c r="A82" i="4"/>
  <c r="A97" i="4"/>
  <c r="A89" i="4"/>
  <c r="A364" i="11"/>
  <c r="A363" i="11"/>
  <c r="A362" i="11"/>
  <c r="A361" i="11"/>
  <c r="A360" i="11"/>
  <c r="A359" i="11"/>
  <c r="A358" i="11"/>
  <c r="A357" i="11"/>
  <c r="A356" i="11"/>
  <c r="A234" i="2"/>
  <c r="A233" i="2"/>
  <c r="A232" i="2"/>
  <c r="A355" i="11"/>
  <c r="A354" i="11"/>
  <c r="A231" i="2"/>
  <c r="A230" i="2"/>
  <c r="A353" i="11"/>
  <c r="A352" i="11"/>
  <c r="A351" i="11"/>
  <c r="A350" i="11"/>
  <c r="A349" i="11"/>
  <c r="A348" i="11"/>
  <c r="A229" i="2"/>
  <c r="A347" i="11"/>
  <c r="A346" i="11"/>
  <c r="A345" i="11"/>
  <c r="A344" i="11"/>
  <c r="A228" i="2"/>
  <c r="A227" i="2"/>
  <c r="A226" i="2"/>
  <c r="A225" i="2"/>
  <c r="A343" i="11"/>
  <c r="A342" i="11"/>
  <c r="A341" i="11"/>
  <c r="A224" i="2"/>
  <c r="A223" i="2"/>
  <c r="A222" i="2"/>
  <c r="A340" i="11"/>
  <c r="A339" i="11"/>
  <c r="A338" i="11"/>
  <c r="A337" i="11"/>
  <c r="A81" i="4"/>
  <c r="A80" i="4"/>
  <c r="A78" i="4"/>
  <c r="A77" i="4"/>
  <c r="A76" i="4"/>
  <c r="A75" i="4"/>
  <c r="A74" i="4"/>
  <c r="A73" i="4"/>
  <c r="A72" i="4"/>
  <c r="A336" i="11"/>
  <c r="A335" i="11"/>
  <c r="A221" i="2"/>
  <c r="A334" i="11"/>
  <c r="A70" i="4"/>
  <c r="A69" i="4"/>
  <c r="A67" i="4"/>
  <c r="A66" i="4"/>
  <c r="A65" i="4"/>
  <c r="A68" i="4"/>
  <c r="A63" i="4"/>
  <c r="A62" i="4"/>
  <c r="A61" i="4"/>
  <c r="A60" i="4"/>
  <c r="A59" i="4"/>
  <c r="A58" i="4"/>
  <c r="A57" i="4"/>
  <c r="A56" i="4"/>
  <c r="A55" i="4"/>
  <c r="A54" i="4"/>
  <c r="A53" i="4"/>
  <c r="A48" i="4"/>
  <c r="A47" i="4"/>
  <c r="A46" i="4"/>
  <c r="A45" i="4"/>
  <c r="A36" i="4"/>
  <c r="A34" i="4"/>
  <c r="A333" i="11"/>
  <c r="A332" i="11"/>
  <c r="A331" i="11"/>
  <c r="A330" i="11"/>
  <c r="A329" i="11"/>
  <c r="A328" i="11"/>
  <c r="A327" i="11"/>
  <c r="A326" i="11"/>
  <c r="A325" i="11"/>
  <c r="A324" i="11"/>
  <c r="A220" i="2"/>
  <c r="A219" i="2"/>
  <c r="A218" i="2"/>
  <c r="A217" i="2"/>
  <c r="A216" i="2"/>
  <c r="A215" i="2"/>
  <c r="A214" i="2"/>
  <c r="A323" i="11"/>
  <c r="A322" i="11"/>
  <c r="A321" i="11"/>
  <c r="A320" i="11"/>
  <c r="A319" i="11"/>
  <c r="A318" i="11"/>
  <c r="A317" i="11"/>
  <c r="A316" i="11"/>
  <c r="A315" i="11"/>
  <c r="A314" i="11"/>
  <c r="A33" i="4"/>
  <c r="A32" i="4"/>
  <c r="A31" i="4"/>
  <c r="A313" i="11"/>
  <c r="A30" i="4"/>
  <c r="A29" i="4"/>
  <c r="A312" i="11"/>
  <c r="A27" i="4"/>
  <c r="A26" i="4"/>
  <c r="A25" i="4"/>
  <c r="A16" i="4"/>
  <c r="A24" i="4"/>
  <c r="A23" i="4"/>
  <c r="A22" i="4"/>
  <c r="A21" i="4"/>
  <c r="A20" i="4"/>
  <c r="A19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221" i="11"/>
  <c r="A310" i="11"/>
  <c r="A260" i="11"/>
  <c r="A91" i="11"/>
  <c r="A213" i="2"/>
  <c r="A212" i="2"/>
  <c r="A211" i="2"/>
  <c r="A210" i="2"/>
  <c r="A90" i="11"/>
  <c r="A100" i="11"/>
  <c r="A209" i="2"/>
  <c r="G27" i="18"/>
  <c r="H27" i="18"/>
  <c r="I27" i="18"/>
  <c r="J27" i="18"/>
  <c r="G28" i="18"/>
  <c r="H28" i="18"/>
  <c r="I28" i="18"/>
  <c r="J28" i="18"/>
  <c r="G29" i="18"/>
  <c r="B29" i="18" s="1"/>
  <c r="A29" i="18" s="1"/>
  <c r="H29" i="18"/>
  <c r="I29" i="18"/>
  <c r="J29" i="18"/>
  <c r="G30" i="18"/>
  <c r="B30" i="18" s="1"/>
  <c r="A30" i="18" s="1"/>
  <c r="H30" i="18"/>
  <c r="I30" i="18"/>
  <c r="J30" i="18"/>
  <c r="G31" i="18"/>
  <c r="B31" i="18" s="1"/>
  <c r="A31" i="18" s="1"/>
  <c r="H31" i="18"/>
  <c r="I31" i="18"/>
  <c r="J31" i="18"/>
  <c r="E31" i="18" s="1"/>
  <c r="G32" i="18"/>
  <c r="H32" i="18"/>
  <c r="I32" i="18"/>
  <c r="J32" i="18"/>
  <c r="G33" i="18"/>
  <c r="H33" i="18"/>
  <c r="I33" i="18"/>
  <c r="J33" i="18"/>
  <c r="G34" i="18"/>
  <c r="H34" i="18"/>
  <c r="I34" i="18"/>
  <c r="J34" i="18"/>
  <c r="G35" i="18"/>
  <c r="H35" i="18"/>
  <c r="I35" i="18"/>
  <c r="J35" i="18"/>
  <c r="G36" i="18"/>
  <c r="H36" i="18"/>
  <c r="I36" i="18"/>
  <c r="J36" i="18"/>
  <c r="G37" i="18"/>
  <c r="H37" i="18"/>
  <c r="I37" i="18"/>
  <c r="J37" i="18"/>
  <c r="G38" i="18"/>
  <c r="H38" i="18"/>
  <c r="I38" i="18"/>
  <c r="J38" i="18"/>
  <c r="G39" i="18"/>
  <c r="H39" i="18"/>
  <c r="I39" i="18"/>
  <c r="J39" i="18"/>
  <c r="E27" i="18"/>
  <c r="C28" i="18"/>
  <c r="D28" i="18"/>
  <c r="C29" i="18"/>
  <c r="D29" i="18"/>
  <c r="C30" i="18"/>
  <c r="D30" i="18"/>
  <c r="C31" i="18"/>
  <c r="D31" i="18"/>
  <c r="B32" i="18"/>
  <c r="A32" i="18" s="1"/>
  <c r="C32" i="18"/>
  <c r="D32" i="18"/>
  <c r="E32" i="18"/>
  <c r="B33" i="18"/>
  <c r="A33" i="18" s="1"/>
  <c r="C33" i="18"/>
  <c r="D33" i="18"/>
  <c r="E33" i="18"/>
  <c r="B34" i="18"/>
  <c r="A34" i="18" s="1"/>
  <c r="C34" i="18"/>
  <c r="D34" i="18"/>
  <c r="E34" i="18"/>
  <c r="B35" i="18"/>
  <c r="A35" i="18" s="1"/>
  <c r="C35" i="18"/>
  <c r="D35" i="18"/>
  <c r="E35" i="18"/>
  <c r="B36" i="18"/>
  <c r="A36" i="18" s="1"/>
  <c r="C36" i="18"/>
  <c r="D36" i="18"/>
  <c r="E36" i="18"/>
  <c r="B37" i="18"/>
  <c r="A37" i="18" s="1"/>
  <c r="C37" i="18"/>
  <c r="D37" i="18"/>
  <c r="E37" i="18"/>
  <c r="B38" i="18"/>
  <c r="A38" i="18" s="1"/>
  <c r="C38" i="18"/>
  <c r="D38" i="18"/>
  <c r="E38" i="18"/>
  <c r="B39" i="18"/>
  <c r="A39" i="18" s="1"/>
  <c r="C39" i="18"/>
  <c r="D39" i="18"/>
  <c r="E39" i="18"/>
  <c r="A149" i="11"/>
  <c r="A148" i="11"/>
  <c r="A108" i="11"/>
  <c r="A112" i="11"/>
  <c r="A242" i="11"/>
  <c r="A147" i="11"/>
  <c r="A97" i="11"/>
  <c r="A185" i="11"/>
  <c r="A250" i="11"/>
  <c r="A190" i="11"/>
  <c r="A164" i="11"/>
  <c r="A77" i="11"/>
  <c r="A42" i="11"/>
  <c r="A10" i="11"/>
  <c r="A146" i="11"/>
  <c r="A56" i="11"/>
  <c r="A145" i="11"/>
  <c r="A144" i="11"/>
  <c r="A154" i="11"/>
  <c r="A208" i="2"/>
  <c r="A143" i="11"/>
  <c r="A142" i="11"/>
  <c r="E28" i="18"/>
  <c r="E29" i="18"/>
  <c r="E30" i="18"/>
  <c r="B28" i="18"/>
  <c r="A28" i="18" s="1"/>
  <c r="A140" i="11"/>
  <c r="A113" i="11"/>
  <c r="A207" i="2"/>
  <c r="A38" i="11"/>
  <c r="A111" i="11"/>
  <c r="A76" i="11"/>
  <c r="A96" i="11"/>
  <c r="A55" i="11"/>
  <c r="A141" i="11"/>
  <c r="A139" i="11"/>
  <c r="A35" i="11"/>
  <c r="A31" i="11"/>
  <c r="A33" i="11"/>
  <c r="A34" i="11"/>
  <c r="A206" i="2"/>
  <c r="A205" i="2"/>
  <c r="A204" i="2"/>
  <c r="A203" i="2"/>
  <c r="A103" i="11"/>
  <c r="A14" i="11"/>
  <c r="A107" i="11"/>
  <c r="A203" i="11"/>
  <c r="A233" i="11"/>
  <c r="A117" i="11"/>
  <c r="A179" i="11"/>
  <c r="A262" i="11"/>
  <c r="A6" i="11"/>
  <c r="A216" i="11"/>
  <c r="A231" i="11"/>
  <c r="A229" i="11"/>
  <c r="A230" i="11"/>
  <c r="A305" i="11"/>
  <c r="A32" i="11"/>
  <c r="A194" i="11"/>
  <c r="A200" i="11"/>
  <c r="A16" i="11"/>
  <c r="A249" i="11"/>
  <c r="A255" i="11"/>
  <c r="A167" i="11"/>
  <c r="A166" i="11"/>
  <c r="A163" i="11"/>
  <c r="A165" i="11"/>
  <c r="A65" i="11"/>
  <c r="A235" i="11"/>
  <c r="A237" i="11"/>
  <c r="A215" i="11"/>
  <c r="A251" i="11"/>
  <c r="A254" i="11"/>
  <c r="A247" i="11"/>
  <c r="A153" i="11"/>
  <c r="A239" i="11"/>
  <c r="A240" i="11"/>
  <c r="A162" i="11"/>
  <c r="A214" i="11"/>
  <c r="A61" i="11"/>
  <c r="A281" i="11"/>
  <c r="A63" i="11"/>
  <c r="A78" i="11"/>
  <c r="A86" i="11"/>
  <c r="A79" i="11"/>
  <c r="A83" i="11"/>
  <c r="A51" i="11"/>
  <c r="A48" i="11"/>
  <c r="A47" i="11"/>
  <c r="F34" i="19" l="1"/>
  <c r="L53" i="19"/>
  <c r="M50" i="19"/>
  <c r="F35" i="19"/>
  <c r="J29" i="19"/>
  <c r="B29" i="19" s="1"/>
  <c r="G34" i="19"/>
  <c r="F36" i="19"/>
  <c r="G36" i="19"/>
  <c r="F37" i="19"/>
  <c r="G27" i="19"/>
  <c r="K35" i="19"/>
  <c r="C35" i="19" s="1"/>
  <c r="F38" i="19"/>
  <c r="F47" i="19"/>
  <c r="F54" i="19"/>
  <c r="G18" i="19"/>
  <c r="L35" i="19"/>
  <c r="D35" i="19" s="1"/>
  <c r="G37" i="19"/>
  <c r="L36" i="19"/>
  <c r="D36" i="19" s="1"/>
  <c r="L37" i="19"/>
  <c r="D37" i="19" s="1"/>
  <c r="G25" i="19"/>
  <c r="L38" i="19"/>
  <c r="D38" i="19" s="1"/>
  <c r="L39" i="19"/>
  <c r="D39" i="19" s="1"/>
  <c r="K49" i="19"/>
  <c r="M47" i="19"/>
  <c r="J45" i="19"/>
  <c r="J39" i="19"/>
  <c r="B39" i="19" s="1"/>
  <c r="M56" i="19"/>
  <c r="L52" i="19"/>
  <c r="G35" i="19"/>
  <c r="J47" i="19"/>
  <c r="K53" i="19"/>
  <c r="M41" i="19"/>
  <c r="E41" i="19" s="1"/>
  <c r="G38" i="19"/>
  <c r="F39" i="19"/>
  <c r="J34" i="19"/>
  <c r="B34" i="19" s="1"/>
  <c r="M33" i="19"/>
  <c r="E33" i="19" s="1"/>
  <c r="J50" i="19"/>
  <c r="K54" i="19"/>
  <c r="M42" i="19"/>
  <c r="E42" i="19" s="1"/>
  <c r="G39" i="19"/>
  <c r="F40" i="19"/>
  <c r="J35" i="19"/>
  <c r="B35" i="19" s="1"/>
  <c r="M34" i="19"/>
  <c r="E34" i="19" s="1"/>
  <c r="J51" i="19"/>
  <c r="K55" i="19"/>
  <c r="M43" i="19"/>
  <c r="E43" i="19" s="1"/>
  <c r="G40" i="19"/>
  <c r="F41" i="19"/>
  <c r="J36" i="19"/>
  <c r="B36" i="19" s="1"/>
  <c r="M35" i="19"/>
  <c r="E35" i="19" s="1"/>
  <c r="J52" i="19"/>
  <c r="K56" i="19"/>
  <c r="M44" i="19"/>
  <c r="E44" i="19" s="1"/>
  <c r="G46" i="19"/>
  <c r="G50" i="19"/>
  <c r="G54" i="19"/>
  <c r="F42" i="19"/>
  <c r="J37" i="19"/>
  <c r="B37" i="19" s="1"/>
  <c r="M36" i="19"/>
  <c r="E36" i="19" s="1"/>
  <c r="J53" i="19"/>
  <c r="L41" i="19"/>
  <c r="D41" i="19" s="1"/>
  <c r="M45" i="19"/>
  <c r="G41" i="19"/>
  <c r="F43" i="19"/>
  <c r="J38" i="19"/>
  <c r="B38" i="19" s="1"/>
  <c r="M37" i="19"/>
  <c r="E37" i="19" s="1"/>
  <c r="J54" i="19"/>
  <c r="L42" i="19"/>
  <c r="D42" i="19" s="1"/>
  <c r="M46" i="19"/>
  <c r="G53" i="19"/>
  <c r="L43" i="19"/>
  <c r="D43" i="19" s="1"/>
  <c r="F45" i="19"/>
  <c r="K33" i="19"/>
  <c r="C32" i="19" s="1"/>
  <c r="M39" i="19"/>
  <c r="E39" i="19" s="1"/>
  <c r="J56" i="19"/>
  <c r="L44" i="19"/>
  <c r="D44" i="19" s="1"/>
  <c r="M48" i="19"/>
  <c r="K52" i="19"/>
  <c r="G42" i="19"/>
  <c r="F46" i="19"/>
  <c r="K34" i="19"/>
  <c r="C33" i="19" s="1"/>
  <c r="J40" i="19"/>
  <c r="B40" i="19" s="1"/>
  <c r="K41" i="19"/>
  <c r="C41" i="19" s="1"/>
  <c r="L45" i="19"/>
  <c r="M49" i="19"/>
  <c r="L54" i="19"/>
  <c r="F56" i="19"/>
  <c r="J48" i="19"/>
  <c r="K42" i="19"/>
  <c r="C42" i="19" s="1"/>
  <c r="M51" i="19"/>
  <c r="J33" i="19"/>
  <c r="B33" i="19" s="1"/>
  <c r="J32" i="19"/>
  <c r="B32" i="19" s="1"/>
  <c r="M38" i="19"/>
  <c r="E38" i="19" s="1"/>
  <c r="G51" i="19"/>
  <c r="M52" i="19"/>
  <c r="L56" i="19"/>
  <c r="F44" i="19"/>
  <c r="J55" i="19"/>
  <c r="K40" i="19"/>
  <c r="C40" i="19" s="1"/>
  <c r="F55" i="19"/>
  <c r="J46" i="19"/>
  <c r="K51" i="19"/>
  <c r="G49" i="19"/>
  <c r="J49" i="19"/>
  <c r="G55" i="19"/>
  <c r="L46" i="19"/>
  <c r="F48" i="19"/>
  <c r="L40" i="19"/>
  <c r="D40" i="19" s="1"/>
  <c r="L47" i="19"/>
  <c r="L48" i="19"/>
  <c r="F50" i="19"/>
  <c r="K45" i="19"/>
  <c r="K39" i="19"/>
  <c r="C39" i="19" s="1"/>
  <c r="K46" i="19"/>
  <c r="L50" i="19"/>
  <c r="M54" i="19"/>
  <c r="K50" i="19"/>
  <c r="L55" i="19"/>
  <c r="G45" i="19"/>
  <c r="K36" i="19"/>
  <c r="C36" i="19" s="1"/>
  <c r="M40" i="19"/>
  <c r="E40" i="19" s="1"/>
  <c r="M53" i="19"/>
  <c r="L51" i="19"/>
  <c r="M55" i="19"/>
  <c r="G47" i="19"/>
  <c r="K43" i="19"/>
  <c r="C43" i="19" s="1"/>
  <c r="G43" i="19"/>
  <c r="F49" i="19"/>
  <c r="K37" i="19"/>
  <c r="C37" i="19" s="1"/>
  <c r="K44" i="19"/>
  <c r="C44" i="19" s="1"/>
  <c r="K38" i="19"/>
  <c r="C38" i="19" s="1"/>
  <c r="J41" i="19"/>
  <c r="B41" i="19" s="1"/>
  <c r="L49" i="19"/>
  <c r="F51" i="19"/>
  <c r="J42" i="19"/>
  <c r="B42" i="19" s="1"/>
  <c r="G44" i="19"/>
  <c r="G48" i="19"/>
  <c r="G52" i="19"/>
  <c r="G56" i="19"/>
  <c r="F52" i="19"/>
  <c r="L33" i="19"/>
  <c r="D33" i="19" s="1"/>
  <c r="J43" i="19"/>
  <c r="B43" i="19" s="1"/>
  <c r="K47" i="19"/>
  <c r="J31" i="19"/>
  <c r="B31" i="19" s="1"/>
  <c r="K13" i="19"/>
  <c r="C13" i="19" s="1"/>
  <c r="F33" i="19"/>
  <c r="F53" i="19"/>
  <c r="L34" i="19"/>
  <c r="D34" i="19" s="1"/>
  <c r="J44" i="19"/>
  <c r="B44" i="19" s="1"/>
  <c r="K48" i="19"/>
  <c r="F31" i="19"/>
  <c r="L18" i="19"/>
  <c r="D18" i="19" s="1"/>
  <c r="G26" i="19"/>
  <c r="G28" i="19"/>
  <c r="G29" i="19"/>
  <c r="F17" i="19"/>
  <c r="F18" i="19"/>
  <c r="F26" i="19"/>
  <c r="M29" i="19"/>
  <c r="E29" i="19" s="1"/>
  <c r="F27" i="19"/>
  <c r="M25" i="19"/>
  <c r="E25" i="19" s="1"/>
  <c r="K19" i="19"/>
  <c r="C19" i="19" s="1"/>
  <c r="F28" i="19"/>
  <c r="K27" i="19"/>
  <c r="C27" i="19" s="1"/>
  <c r="F25" i="19"/>
  <c r="L10" i="19"/>
  <c r="L31" i="19"/>
  <c r="D31" i="19" s="1"/>
  <c r="L32" i="19"/>
  <c r="D32" i="19" s="1"/>
  <c r="L30" i="19"/>
  <c r="D30" i="19" s="1"/>
  <c r="J30" i="19"/>
  <c r="B30" i="19" s="1"/>
  <c r="L19" i="19"/>
  <c r="D19" i="19" s="1"/>
  <c r="L13" i="19"/>
  <c r="D13" i="19" s="1"/>
  <c r="J14" i="19"/>
  <c r="B14" i="19" s="1"/>
  <c r="F29" i="19"/>
  <c r="G19" i="19"/>
  <c r="K14" i="19"/>
  <c r="C14" i="19" s="1"/>
  <c r="L14" i="19"/>
  <c r="D14" i="19" s="1"/>
  <c r="K18" i="19"/>
  <c r="C18" i="19" s="1"/>
  <c r="F19" i="19"/>
  <c r="F30" i="19"/>
  <c r="M19" i="19"/>
  <c r="E19" i="19" s="1"/>
  <c r="G30" i="19"/>
  <c r="J10" i="19"/>
  <c r="B10" i="19" s="1"/>
  <c r="A10" i="19" s="1"/>
  <c r="J15" i="19"/>
  <c r="B15" i="19" s="1"/>
  <c r="J20" i="19"/>
  <c r="B20" i="19" s="1"/>
  <c r="J27" i="19"/>
  <c r="B27" i="19" s="1"/>
  <c r="F32" i="19"/>
  <c r="G31" i="19"/>
  <c r="K10" i="19"/>
  <c r="K15" i="19"/>
  <c r="C15" i="19" s="1"/>
  <c r="K20" i="19"/>
  <c r="C20" i="19" s="1"/>
  <c r="J28" i="19"/>
  <c r="B28" i="19" s="1"/>
  <c r="G32" i="19"/>
  <c r="M18" i="19"/>
  <c r="E18" i="19" s="1"/>
  <c r="L15" i="19"/>
  <c r="D15" i="19" s="1"/>
  <c r="G10" i="19"/>
  <c r="M23" i="19"/>
  <c r="E23" i="19" s="1"/>
  <c r="G11" i="19"/>
  <c r="J19" i="19"/>
  <c r="B19" i="19" s="1"/>
  <c r="F10" i="19"/>
  <c r="J16" i="19"/>
  <c r="B16" i="19" s="1"/>
  <c r="K30" i="19"/>
  <c r="C30" i="19" s="1"/>
  <c r="M16" i="19"/>
  <c r="E16" i="19" s="1"/>
  <c r="F12" i="19"/>
  <c r="M26" i="19"/>
  <c r="E26" i="19" s="1"/>
  <c r="G14" i="19"/>
  <c r="M13" i="19"/>
  <c r="E13" i="19" s="1"/>
  <c r="M10" i="19"/>
  <c r="E10" i="19" s="1"/>
  <c r="M21" i="19"/>
  <c r="E21" i="19" s="1"/>
  <c r="J11" i="19"/>
  <c r="B11" i="19" s="1"/>
  <c r="G12" i="19"/>
  <c r="G13" i="19"/>
  <c r="K32" i="19"/>
  <c r="K12" i="19"/>
  <c r="C12" i="19" s="1"/>
  <c r="K17" i="19"/>
  <c r="C17" i="19" s="1"/>
  <c r="F13" i="19"/>
  <c r="M27" i="19"/>
  <c r="E27" i="19" s="1"/>
  <c r="G15" i="19"/>
  <c r="M14" i="19"/>
  <c r="E14" i="19" s="1"/>
  <c r="L20" i="19"/>
  <c r="D20" i="19" s="1"/>
  <c r="K28" i="19"/>
  <c r="C28" i="19" s="1"/>
  <c r="M22" i="19"/>
  <c r="E22" i="19" s="1"/>
  <c r="K29" i="19"/>
  <c r="C29" i="19" s="1"/>
  <c r="M24" i="19"/>
  <c r="E24" i="19" s="1"/>
  <c r="K31" i="19"/>
  <c r="C31" i="19" s="1"/>
  <c r="L12" i="19"/>
  <c r="D12" i="19" s="1"/>
  <c r="L17" i="19"/>
  <c r="D17" i="19" s="1"/>
  <c r="F14" i="19"/>
  <c r="L27" i="19"/>
  <c r="D27" i="19" s="1"/>
  <c r="M28" i="19"/>
  <c r="E28" i="19" s="1"/>
  <c r="G16" i="19"/>
  <c r="G33" i="19"/>
  <c r="M20" i="19"/>
  <c r="E20" i="19" s="1"/>
  <c r="K11" i="19"/>
  <c r="C11" i="19" s="1"/>
  <c r="L11" i="19"/>
  <c r="D11" i="19" s="1"/>
  <c r="F11" i="19"/>
  <c r="J17" i="19"/>
  <c r="B17" i="19" s="1"/>
  <c r="M12" i="19"/>
  <c r="E12" i="19" s="1"/>
  <c r="M17" i="19"/>
  <c r="E17" i="19" s="1"/>
  <c r="F15" i="19"/>
  <c r="L28" i="19"/>
  <c r="D28" i="19" s="1"/>
  <c r="G17" i="19"/>
  <c r="M15" i="19"/>
  <c r="E15" i="19" s="1"/>
  <c r="K16" i="19"/>
  <c r="C16" i="19" s="1"/>
  <c r="L16" i="19"/>
  <c r="D16" i="19" s="1"/>
  <c r="M11" i="19"/>
  <c r="E11" i="19" s="1"/>
  <c r="J12" i="19"/>
  <c r="B12" i="19" s="1"/>
  <c r="J13" i="19"/>
  <c r="B13" i="19" s="1"/>
  <c r="J18" i="19"/>
  <c r="B18" i="19" s="1"/>
  <c r="F16" i="19"/>
  <c r="L29" i="19"/>
  <c r="D29" i="19" s="1"/>
  <c r="L21" i="19"/>
  <c r="D21" i="19" s="1"/>
  <c r="J23" i="19"/>
  <c r="B23" i="19" s="1"/>
  <c r="J24" i="19"/>
  <c r="B24" i="19" s="1"/>
  <c r="L24" i="19"/>
  <c r="D24" i="19" s="1"/>
  <c r="L22" i="19"/>
  <c r="D22" i="19" s="1"/>
  <c r="J25" i="19"/>
  <c r="B25" i="19" s="1"/>
  <c r="L25" i="19"/>
  <c r="D25" i="19" s="1"/>
  <c r="J21" i="19"/>
  <c r="B21" i="19" s="1"/>
  <c r="J22" i="19"/>
  <c r="B22" i="19" s="1"/>
  <c r="L23" i="19"/>
  <c r="D23" i="19" s="1"/>
  <c r="J26" i="19"/>
  <c r="B26" i="19" s="1"/>
  <c r="F20" i="19"/>
  <c r="F21" i="19"/>
  <c r="G22" i="19"/>
  <c r="M30" i="19"/>
  <c r="E30" i="19" s="1"/>
  <c r="K24" i="19"/>
  <c r="C24" i="19" s="1"/>
  <c r="G20" i="19"/>
  <c r="F22" i="19"/>
  <c r="G23" i="19"/>
  <c r="G21" i="19"/>
  <c r="M31" i="19"/>
  <c r="E31" i="19" s="1"/>
  <c r="K22" i="19"/>
  <c r="C22" i="19" s="1"/>
  <c r="M32" i="19"/>
  <c r="E32" i="19" s="1"/>
  <c r="K23" i="19"/>
  <c r="C23" i="19" s="1"/>
  <c r="K25" i="19"/>
  <c r="C25" i="19" s="1"/>
  <c r="F24" i="19"/>
  <c r="G24" i="19"/>
  <c r="L26" i="19"/>
  <c r="D26" i="19" s="1"/>
  <c r="K21" i="19"/>
  <c r="C21" i="19" s="1"/>
  <c r="F23" i="19"/>
  <c r="K26" i="19"/>
  <c r="C26" i="19" s="1"/>
  <c r="A49" i="11"/>
  <c r="A50" i="11"/>
  <c r="A193" i="11"/>
  <c r="C34" i="19" l="1"/>
  <c r="A41" i="19"/>
  <c r="A44" i="19"/>
  <c r="A43" i="19"/>
  <c r="A42" i="19"/>
  <c r="A37" i="19"/>
  <c r="A36" i="19"/>
  <c r="A35" i="19"/>
  <c r="A39" i="19"/>
  <c r="A40" i="19"/>
  <c r="A38" i="19"/>
  <c r="A34" i="19"/>
  <c r="A32" i="19"/>
  <c r="A33" i="19"/>
  <c r="A30" i="19"/>
  <c r="A31" i="19"/>
  <c r="A21" i="19"/>
  <c r="C10" i="19"/>
  <c r="A16" i="19"/>
  <c r="A17" i="19"/>
  <c r="A19" i="19"/>
  <c r="A13" i="19"/>
  <c r="A20" i="19"/>
  <c r="A18" i="19"/>
  <c r="D10" i="19"/>
  <c r="A15" i="19"/>
  <c r="A14" i="19"/>
  <c r="A12" i="19"/>
  <c r="A11" i="19"/>
  <c r="A22" i="19"/>
  <c r="A26" i="19"/>
  <c r="A28" i="19"/>
  <c r="A29" i="19"/>
  <c r="A24" i="19"/>
  <c r="A27" i="19"/>
  <c r="A23" i="19"/>
  <c r="A25" i="19"/>
  <c r="A192" i="11"/>
  <c r="A189" i="11"/>
  <c r="A191" i="11"/>
  <c r="A202" i="2" l="1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309" i="11" l="1"/>
  <c r="A88" i="11"/>
  <c r="A158" i="2"/>
  <c r="A187" i="11"/>
  <c r="A89" i="11"/>
  <c r="A93" i="11"/>
  <c r="A94" i="11"/>
  <c r="A92" i="11"/>
  <c r="A157" i="2"/>
  <c r="A156" i="2"/>
  <c r="A155" i="2"/>
  <c r="A154" i="2"/>
  <c r="A153" i="2"/>
  <c r="A152" i="2"/>
  <c r="A71" i="11"/>
  <c r="A70" i="11"/>
  <c r="A68" i="11"/>
  <c r="A69" i="11"/>
  <c r="A67" i="11"/>
  <c r="A151" i="2"/>
  <c r="A150" i="2"/>
  <c r="A149" i="2"/>
  <c r="A148" i="2"/>
  <c r="A147" i="2"/>
  <c r="A151" i="11"/>
  <c r="A146" i="2"/>
  <c r="A138" i="11"/>
  <c r="A15" i="11"/>
  <c r="A145" i="2"/>
  <c r="A213" i="11"/>
  <c r="A12" i="11"/>
  <c r="A9" i="11"/>
  <c r="A186" i="11"/>
  <c r="A144" i="2"/>
  <c r="A137" i="11"/>
  <c r="A136" i="11"/>
  <c r="A278" i="11"/>
  <c r="A268" i="11"/>
  <c r="A289" i="11"/>
  <c r="A54" i="11"/>
  <c r="A106" i="11"/>
  <c r="A95" i="11"/>
  <c r="A143" i="2"/>
  <c r="A110" i="11"/>
  <c r="A135" i="11"/>
  <c r="A73" i="11"/>
  <c r="A5" i="11"/>
  <c r="A142" i="2"/>
  <c r="A134" i="11"/>
  <c r="A225" i="11"/>
  <c r="A133" i="11"/>
  <c r="A141" i="2"/>
  <c r="A209" i="11"/>
  <c r="A140" i="2"/>
  <c r="A160" i="11"/>
  <c r="A132" i="11"/>
  <c r="A131" i="11"/>
  <c r="A25" i="11" l="1"/>
  <c r="A139" i="2"/>
  <c r="A130" i="11"/>
  <c r="A174" i="11"/>
  <c r="A60" i="11"/>
  <c r="A138" i="2"/>
  <c r="A137" i="2"/>
  <c r="A129" i="11"/>
  <c r="A280" i="11"/>
  <c r="A128" i="11"/>
  <c r="A243" i="11"/>
  <c r="A136" i="2"/>
  <c r="A41" i="11"/>
  <c r="A84" i="11"/>
  <c r="A261" i="11"/>
  <c r="A263" i="11"/>
  <c r="A223" i="11"/>
  <c r="A85" i="11"/>
  <c r="A80" i="11"/>
  <c r="A109" i="11"/>
  <c r="A256" i="11"/>
  <c r="A248" i="11"/>
  <c r="A253" i="11"/>
  <c r="A232" i="11"/>
  <c r="A26" i="11"/>
  <c r="A114" i="11"/>
  <c r="A116" i="11"/>
  <c r="A105" i="11"/>
  <c r="A102" i="11"/>
  <c r="A101" i="11"/>
  <c r="A115" i="11"/>
  <c r="A72" i="11"/>
  <c r="A23" i="11"/>
  <c r="A22" i="11"/>
  <c r="A21" i="11"/>
  <c r="A43" i="11"/>
  <c r="A44" i="11"/>
  <c r="A17" i="11"/>
  <c r="A19" i="11"/>
  <c r="A127" i="11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271" i="11"/>
  <c r="A274" i="11"/>
  <c r="A277" i="11"/>
  <c r="A267" i="11"/>
  <c r="A292" i="11"/>
  <c r="A298" i="11"/>
  <c r="A295" i="11"/>
  <c r="A284" i="11"/>
  <c r="A87" i="11"/>
  <c r="A110" i="2"/>
  <c r="A307" i="11"/>
  <c r="A306" i="11"/>
  <c r="A126" i="11"/>
  <c r="A40" i="11"/>
  <c r="A24" i="11"/>
  <c r="A212" i="11"/>
  <c r="A109" i="2"/>
  <c r="A108" i="2"/>
  <c r="A107" i="2"/>
  <c r="A106" i="2"/>
  <c r="A105" i="2"/>
  <c r="A125" i="11"/>
  <c r="A124" i="11"/>
  <c r="A8" i="11"/>
  <c r="A123" i="11"/>
  <c r="A58" i="11"/>
  <c r="A270" i="11"/>
  <c r="A273" i="11"/>
  <c r="A276" i="11"/>
  <c r="A104" i="2"/>
  <c r="A266" i="11"/>
  <c r="A297" i="11"/>
  <c r="A294" i="11"/>
  <c r="A291" i="11"/>
  <c r="A288" i="11"/>
  <c r="A175" i="11"/>
  <c r="A161" i="11"/>
  <c r="A75" i="11"/>
  <c r="A64" i="11"/>
  <c r="A103" i="2"/>
  <c r="A257" i="11"/>
  <c r="A244" i="11"/>
  <c r="A258" i="11"/>
  <c r="A157" i="11"/>
  <c r="A66" i="11"/>
  <c r="A182" i="11"/>
  <c r="A59" i="11"/>
  <c r="A177" i="11"/>
  <c r="A184" i="11"/>
  <c r="A205" i="11"/>
  <c r="A208" i="11"/>
  <c r="A102" i="2"/>
  <c r="A101" i="2"/>
  <c r="A100" i="2"/>
  <c r="A99" i="2"/>
  <c r="A98" i="2"/>
  <c r="A97" i="2"/>
  <c r="A96" i="2"/>
  <c r="A95" i="2"/>
  <c r="A94" i="2"/>
  <c r="A93" i="2"/>
  <c r="A207" i="11"/>
  <c r="A181" i="11"/>
  <c r="A92" i="2"/>
  <c r="G22" i="18"/>
  <c r="B22" i="18" s="1"/>
  <c r="A206" i="11"/>
  <c r="A122" i="11"/>
  <c r="A91" i="2"/>
  <c r="A156" i="11"/>
  <c r="A222" i="11"/>
  <c r="A90" i="2"/>
  <c r="A121" i="11"/>
  <c r="A53" i="11"/>
  <c r="A300" i="11"/>
  <c r="A269" i="11"/>
  <c r="A272" i="11"/>
  <c r="A275" i="11"/>
  <c r="A265" i="11"/>
  <c r="A89" i="2"/>
  <c r="A88" i="2"/>
  <c r="A87" i="2"/>
  <c r="A86" i="2"/>
  <c r="A120" i="11"/>
  <c r="A85" i="2"/>
  <c r="A39" i="11"/>
  <c r="A7" i="11"/>
  <c r="A98" i="11"/>
  <c r="A170" i="11"/>
  <c r="A36" i="11"/>
  <c r="A195" i="11"/>
  <c r="A304" i="11"/>
  <c r="A224" i="11"/>
  <c r="A84" i="2"/>
  <c r="A83" i="2"/>
  <c r="A82" i="2"/>
  <c r="A81" i="2"/>
  <c r="A80" i="2"/>
  <c r="A79" i="2"/>
  <c r="A150" i="11"/>
  <c r="A18" i="11"/>
  <c r="A13" i="11"/>
  <c r="A62" i="11"/>
  <c r="A82" i="11"/>
  <c r="A81" i="11"/>
  <c r="A158" i="11"/>
  <c r="A28" i="11"/>
  <c r="A196" i="11"/>
  <c r="A27" i="11"/>
  <c r="A30" i="11"/>
  <c r="A201" i="11"/>
  <c r="A37" i="11"/>
  <c r="A211" i="11"/>
  <c r="A308" i="11"/>
  <c r="A204" i="11"/>
  <c r="A202" i="11"/>
  <c r="A74" i="11"/>
  <c r="A29" i="11"/>
  <c r="A241" i="11"/>
  <c r="A152" i="11"/>
  <c r="A176" i="11"/>
  <c r="A234" i="11"/>
  <c r="A236" i="11"/>
  <c r="A238" i="11"/>
  <c r="A180" i="11"/>
  <c r="A183" i="11"/>
  <c r="A4" i="11"/>
  <c r="A45" i="11"/>
  <c r="A46" i="11"/>
  <c r="A155" i="11"/>
  <c r="A219" i="11"/>
  <c r="A218" i="11"/>
  <c r="A199" i="11"/>
  <c r="A99" i="11"/>
  <c r="A188" i="11"/>
  <c r="A168" i="11"/>
  <c r="A220" i="11"/>
  <c r="A228" i="11"/>
  <c r="A197" i="11"/>
  <c r="A217" i="11"/>
  <c r="A227" i="11"/>
  <c r="A198" i="11"/>
  <c r="A20" i="11"/>
  <c r="A169" i="11"/>
  <c r="A226" i="11"/>
  <c r="A172" i="11"/>
  <c r="A259" i="11"/>
  <c r="A210" i="11"/>
  <c r="A245" i="11"/>
  <c r="A246" i="11"/>
  <c r="A171" i="11"/>
  <c r="A173" i="11"/>
  <c r="A311" i="11"/>
  <c r="A52" i="11"/>
  <c r="A57" i="11"/>
  <c r="A303" i="11"/>
  <c r="A302" i="11"/>
  <c r="A301" i="11"/>
  <c r="A299" i="11"/>
  <c r="A296" i="11"/>
  <c r="A293" i="11"/>
  <c r="A290" i="11"/>
  <c r="A287" i="11"/>
  <c r="A285" i="11"/>
  <c r="A283" i="11"/>
  <c r="A282" i="11"/>
  <c r="A279" i="11"/>
  <c r="A178" i="11"/>
  <c r="A119" i="11"/>
  <c r="A104" i="11"/>
  <c r="A118" i="11"/>
  <c r="A11" i="11"/>
  <c r="A252" i="11"/>
  <c r="A286" i="11"/>
  <c r="A159" i="11"/>
  <c r="A264" i="11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H16" i="18" l="1"/>
  <c r="C16" i="18" s="1"/>
  <c r="G20" i="18"/>
  <c r="B20" i="18" s="1"/>
  <c r="C27" i="18"/>
  <c r="H24" i="18"/>
  <c r="C24" i="18" s="1"/>
  <c r="G16" i="18"/>
  <c r="B16" i="18" s="1"/>
  <c r="I24" i="18"/>
  <c r="D24" i="18" s="1"/>
  <c r="B27" i="18"/>
  <c r="G26" i="18"/>
  <c r="B26" i="18" s="1"/>
  <c r="H17" i="18"/>
  <c r="C17" i="18" s="1"/>
  <c r="I16" i="18"/>
  <c r="D16" i="18" s="1"/>
  <c r="G24" i="18"/>
  <c r="B24" i="18" s="1"/>
  <c r="I22" i="18"/>
  <c r="D22" i="18" s="1"/>
  <c r="G18" i="18"/>
  <c r="B18" i="18" s="1"/>
  <c r="D27" i="18"/>
  <c r="H20" i="18"/>
  <c r="C20" i="18" s="1"/>
  <c r="G17" i="18"/>
  <c r="B17" i="18" s="1"/>
  <c r="A47" i="18"/>
  <c r="G25" i="18"/>
  <c r="B25" i="18" s="1"/>
  <c r="I20" i="18"/>
  <c r="D20" i="18" s="1"/>
  <c r="G19" i="18"/>
  <c r="B19" i="18" s="1"/>
  <c r="G21" i="18"/>
  <c r="B21" i="18" s="1"/>
  <c r="H26" i="18"/>
  <c r="C26" i="18" s="1"/>
  <c r="I17" i="18"/>
  <c r="D17" i="18" s="1"/>
  <c r="B12" i="18"/>
  <c r="H18" i="18"/>
  <c r="C18" i="18" s="1"/>
  <c r="H21" i="18"/>
  <c r="C21" i="18" s="1"/>
  <c r="I18" i="18"/>
  <c r="D18" i="18" s="1"/>
  <c r="I26" i="18"/>
  <c r="D26" i="18" s="1"/>
  <c r="H25" i="18"/>
  <c r="C25" i="18" s="1"/>
  <c r="G15" i="18"/>
  <c r="H19" i="18"/>
  <c r="C19" i="18" s="1"/>
  <c r="I21" i="18"/>
  <c r="D21" i="18" s="1"/>
  <c r="I25" i="18"/>
  <c r="D25" i="18" s="1"/>
  <c r="H15" i="18"/>
  <c r="J26" i="18"/>
  <c r="E26" i="18" s="1"/>
  <c r="J25" i="18"/>
  <c r="E25" i="18" s="1"/>
  <c r="J24" i="18"/>
  <c r="E24" i="18" s="1"/>
  <c r="J20" i="18"/>
  <c r="E20" i="18" s="1"/>
  <c r="J21" i="18"/>
  <c r="E21" i="18" s="1"/>
  <c r="J15" i="18"/>
  <c r="E15" i="18" s="1"/>
  <c r="J22" i="18"/>
  <c r="E22" i="18" s="1"/>
  <c r="J19" i="18"/>
  <c r="E19" i="18" s="1"/>
  <c r="J16" i="18"/>
  <c r="E16" i="18" s="1"/>
  <c r="J18" i="18"/>
  <c r="E18" i="18" s="1"/>
  <c r="J17" i="18"/>
  <c r="E17" i="18" s="1"/>
  <c r="I19" i="18"/>
  <c r="D19" i="18" s="1"/>
  <c r="I15" i="18"/>
  <c r="H22" i="18"/>
  <c r="C22" i="18" s="1"/>
  <c r="A9" i="2"/>
  <c r="D15" i="18" l="1"/>
  <c r="B15" i="18"/>
  <c r="A22" i="18" s="1"/>
  <c r="C15" i="18"/>
  <c r="A8" i="2"/>
  <c r="A7" i="2"/>
  <c r="A6" i="2"/>
  <c r="A5" i="2"/>
  <c r="A4" i="2"/>
  <c r="AA19" i="1"/>
  <c r="S2" i="2"/>
  <c r="AA7" i="1"/>
  <c r="A21" i="18" l="1"/>
  <c r="A15" i="18"/>
  <c r="A20" i="18"/>
  <c r="A19" i="18"/>
  <c r="A17" i="18"/>
  <c r="A18" i="18"/>
  <c r="A16" i="18"/>
  <c r="AA25" i="1"/>
  <c r="AA22" i="1"/>
  <c r="AA16" i="1"/>
  <c r="AA15" i="1"/>
  <c r="AA8" i="1"/>
  <c r="K2" i="4" l="1"/>
  <c r="H23" i="18"/>
  <c r="C23" i="18" s="1"/>
  <c r="I23" i="18"/>
  <c r="D23" i="18" s="1"/>
  <c r="G23" i="18"/>
  <c r="B23" i="18" s="1"/>
  <c r="J23" i="18"/>
  <c r="E23" i="18" s="1"/>
  <c r="A23" i="18" l="1"/>
  <c r="A24" i="18"/>
  <c r="A26" i="18"/>
  <c r="A25" i="18"/>
  <c r="A27" i="18"/>
</calcChain>
</file>

<file path=xl/sharedStrings.xml><?xml version="1.0" encoding="utf-8"?>
<sst xmlns="http://schemas.openxmlformats.org/spreadsheetml/2006/main" count="10413" uniqueCount="1876">
  <si>
    <t>No</t>
  </si>
  <si>
    <t>Id Barang</t>
  </si>
  <si>
    <t>Nama Barang</t>
  </si>
  <si>
    <t>Jenis Barang</t>
  </si>
  <si>
    <t>Satuan</t>
  </si>
  <si>
    <t>Stok</t>
  </si>
  <si>
    <t>Gudang</t>
  </si>
  <si>
    <t>Gudang 2</t>
  </si>
  <si>
    <t>ID Transaksi</t>
  </si>
  <si>
    <t>Tanggal</t>
  </si>
  <si>
    <t>Jumlah Masuk</t>
  </si>
  <si>
    <t>Kode Otomatis</t>
  </si>
  <si>
    <t>Gudang 3</t>
  </si>
  <si>
    <t>Jumlah Keluar</t>
  </si>
  <si>
    <t>Jumlah Barang</t>
  </si>
  <si>
    <t>Gudang 1</t>
  </si>
  <si>
    <t>Tabel Rekapitulasi</t>
  </si>
  <si>
    <t>Barang Masuk</t>
  </si>
  <si>
    <t>Jumlah Transaksi</t>
  </si>
  <si>
    <t>Jumlah Item</t>
  </si>
  <si>
    <t>Barang Keluar</t>
  </si>
  <si>
    <t>Data Barang</t>
  </si>
  <si>
    <t>Total Item</t>
  </si>
  <si>
    <t>Jumlah</t>
  </si>
  <si>
    <t>Penerima</t>
  </si>
  <si>
    <t>ID-1000001</t>
  </si>
  <si>
    <t>Kertas A4</t>
  </si>
  <si>
    <t>Rim</t>
  </si>
  <si>
    <t>ID-1000002</t>
  </si>
  <si>
    <t>TANDA TERIMA</t>
  </si>
  <si>
    <t>Buah</t>
  </si>
  <si>
    <t>Mengetahui,</t>
  </si>
  <si>
    <t>Kepala Subbagian Umum</t>
  </si>
  <si>
    <t>Jeneponto,</t>
  </si>
  <si>
    <t>Tinta Printer Epson 008</t>
  </si>
  <si>
    <t>Botol</t>
  </si>
  <si>
    <t>ID-1000003</t>
  </si>
  <si>
    <t>Tinta Brother</t>
  </si>
  <si>
    <t>ID-1000004</t>
  </si>
  <si>
    <t>Amplop Panjang</t>
  </si>
  <si>
    <t>Amplop</t>
  </si>
  <si>
    <t>Box</t>
  </si>
  <si>
    <t>ID-1000005</t>
  </si>
  <si>
    <t>Lakban bening 5 Cm</t>
  </si>
  <si>
    <t xml:space="preserve">Fungsi: </t>
  </si>
  <si>
    <t>ID-1000006</t>
  </si>
  <si>
    <t>MAP BPS</t>
  </si>
  <si>
    <t>Lembar</t>
  </si>
  <si>
    <t>ID-1000007</t>
  </si>
  <si>
    <t>Kertas F4 75 Gsm</t>
  </si>
  <si>
    <t>Kertas A4 75 Gsm</t>
  </si>
  <si>
    <t>Tinta Printer Epson 008 Black</t>
  </si>
  <si>
    <t>ID-1000008</t>
  </si>
  <si>
    <t>Tinta Printer Epson 008 Cyan</t>
  </si>
  <si>
    <t>ID-1000009</t>
  </si>
  <si>
    <t>Tinta Printer Epson 008 Magenta</t>
  </si>
  <si>
    <t>ID-1000010</t>
  </si>
  <si>
    <t>Tinta Printer Epson 008 Yellow</t>
  </si>
  <si>
    <t>ID-1000011</t>
  </si>
  <si>
    <t>Tinta Printer Epson 003 Black</t>
  </si>
  <si>
    <t>ID-1000012</t>
  </si>
  <si>
    <t>Tinta Printer Epson 003 Cyan</t>
  </si>
  <si>
    <t>ID-1000013</t>
  </si>
  <si>
    <t>Tinta Printer Epson 003 Magenta</t>
  </si>
  <si>
    <t>ID-1000014</t>
  </si>
  <si>
    <t>Tinta Printer Epson 003 Yellow</t>
  </si>
  <si>
    <t>ID-1000015</t>
  </si>
  <si>
    <t>Tinta Printer Epson T6641 Black</t>
  </si>
  <si>
    <t>ID-1000016</t>
  </si>
  <si>
    <t>Tinta Printer Epson T6642 Cyan</t>
  </si>
  <si>
    <t>ID-1000017</t>
  </si>
  <si>
    <t>Tinta Printer Epson T6643 Magenta</t>
  </si>
  <si>
    <t>ID-1000018</t>
  </si>
  <si>
    <t>Tinta Printer Epson T6644 Yellow</t>
  </si>
  <si>
    <t>Kertas HVS</t>
  </si>
  <si>
    <t>Tinta/Toner Printer</t>
  </si>
  <si>
    <t>Alat Perekat</t>
  </si>
  <si>
    <t>Stopmap</t>
  </si>
  <si>
    <t>ID-1000019</t>
  </si>
  <si>
    <t>Box Arsip M</t>
  </si>
  <si>
    <t>Perlengkapan Penunjang Kegiatan Kantor Lainnya</t>
  </si>
  <si>
    <t>ID-1000020</t>
  </si>
  <si>
    <t>Box Arsip L</t>
  </si>
  <si>
    <t>ID-1000021</t>
  </si>
  <si>
    <t>Amplop Airmail EV 90</t>
  </si>
  <si>
    <t>ID-1000022</t>
  </si>
  <si>
    <t>Map Plastik Jepit Seagul</t>
  </si>
  <si>
    <t>ID-1000023</t>
  </si>
  <si>
    <t>Map Folio Bindex</t>
  </si>
  <si>
    <t>Ordner Dan Map</t>
  </si>
  <si>
    <t>ID-1000024</t>
  </si>
  <si>
    <t>Standard Pen - Mojito 0.5 Gel Black</t>
  </si>
  <si>
    <t>ID-1000025</t>
  </si>
  <si>
    <t>Standard Elite Bold</t>
  </si>
  <si>
    <t>Pulpen</t>
  </si>
  <si>
    <t>ID-1000026</t>
  </si>
  <si>
    <t>Standard Bold Liner RFL 1.0</t>
  </si>
  <si>
    <t>ID-1000027</t>
  </si>
  <si>
    <t>Box File Bantex 4021 Purple</t>
  </si>
  <si>
    <t>ID-1000028</t>
  </si>
  <si>
    <t>Box File Bantex 4011 Biru</t>
  </si>
  <si>
    <t>ID-1000029</t>
  </si>
  <si>
    <t>Map Batik Holog Besco BC-8003</t>
  </si>
  <si>
    <t>ID-1000030</t>
  </si>
  <si>
    <t>Kertas Linen F4 Tebal</t>
  </si>
  <si>
    <t>Kertas Cover</t>
  </si>
  <si>
    <t>Pack</t>
  </si>
  <si>
    <t>ID-1000031</t>
  </si>
  <si>
    <t>Staples Greebel No. 10</t>
  </si>
  <si>
    <t>Isi Staples</t>
  </si>
  <si>
    <t>ID-1000032</t>
  </si>
  <si>
    <t>Binder Clip Joyko 280</t>
  </si>
  <si>
    <t>Penjepit Kertas</t>
  </si>
  <si>
    <t>ID-1000033</t>
  </si>
  <si>
    <t>Penghapus Kenko</t>
  </si>
  <si>
    <t>Penghapus/Korektor</t>
  </si>
  <si>
    <t>ID-1000034</t>
  </si>
  <si>
    <t>Greebel Stapler  HD-10ED</t>
  </si>
  <si>
    <t>Staples</t>
  </si>
  <si>
    <t>ID-1000035</t>
  </si>
  <si>
    <t>Pensil Joyko P-88 2B</t>
  </si>
  <si>
    <t>Alat Tulis Kantor Lainnya</t>
  </si>
  <si>
    <t>ID-1000036</t>
  </si>
  <si>
    <t>Pensil Joyko P-93 2B</t>
  </si>
  <si>
    <t>ID-1000037</t>
  </si>
  <si>
    <t>Tri Tape Lakban Bening</t>
  </si>
  <si>
    <t>ID-1000038</t>
  </si>
  <si>
    <t>Printech Lakban Bening 48 MMX</t>
  </si>
  <si>
    <t>ID-1000039</t>
  </si>
  <si>
    <t>Binder Clips kenko 260</t>
  </si>
  <si>
    <t>ID-1000040</t>
  </si>
  <si>
    <t>ID-1000041</t>
  </si>
  <si>
    <t>ID-1000042</t>
  </si>
  <si>
    <t>Binder Clip Kenko 111</t>
  </si>
  <si>
    <t>ID-1000043</t>
  </si>
  <si>
    <t>Binder Clip 155</t>
  </si>
  <si>
    <t>ID-1000044</t>
  </si>
  <si>
    <t>Binder Clip Joyko 260</t>
  </si>
  <si>
    <t>ID-1000045</t>
  </si>
  <si>
    <t>Lakban Bening 2 Inci</t>
  </si>
  <si>
    <t>ID-1000046</t>
  </si>
  <si>
    <t>Gunting KA-838</t>
  </si>
  <si>
    <t>Alat/bahan Untuk Kegiatan Kantor Lainnya</t>
  </si>
  <si>
    <t>ID-1000047</t>
  </si>
  <si>
    <t>Gunting KC-888</t>
  </si>
  <si>
    <t>ID-1000048</t>
  </si>
  <si>
    <t>Cutter V-Tec Ct-8801</t>
  </si>
  <si>
    <t>Cutter (Alat Tulis Kantor)</t>
  </si>
  <si>
    <t>ID-1000049</t>
  </si>
  <si>
    <t>Amplop Paperline  ENV 110</t>
  </si>
  <si>
    <t>ID-1000050</t>
  </si>
  <si>
    <t>Alat Penunjang Kegiatan Kantor Lainnya</t>
  </si>
  <si>
    <t>ID-1000051</t>
  </si>
  <si>
    <t>Sarung Tangan Micromate</t>
  </si>
  <si>
    <t>ID-1000052</t>
  </si>
  <si>
    <t>Sapu Plafo Dragon</t>
  </si>
  <si>
    <t>ID-1000053</t>
  </si>
  <si>
    <t>Pembersih Keramik</t>
  </si>
  <si>
    <t>ID-1000054</t>
  </si>
  <si>
    <t>Jolly Kiloan</t>
  </si>
  <si>
    <t>ID-1000055</t>
  </si>
  <si>
    <t>Multi MP-08 Kiloan</t>
  </si>
  <si>
    <t>ID-1000056</t>
  </si>
  <si>
    <t>Lap Kuning Besar</t>
  </si>
  <si>
    <t>ID-1000057</t>
  </si>
  <si>
    <t>Serbet Bintang Mutiara</t>
  </si>
  <si>
    <t>ID-1000058</t>
  </si>
  <si>
    <t>Spons Bamboo</t>
  </si>
  <si>
    <t>ID-1000059</t>
  </si>
  <si>
    <t>Pembersih Jendela</t>
  </si>
  <si>
    <t>ID-1000060</t>
  </si>
  <si>
    <t>Sapu Bulu Ayam</t>
  </si>
  <si>
    <t>ID-1000061</t>
  </si>
  <si>
    <t>Spon Kitchen Mate</t>
  </si>
  <si>
    <t>ID-1000062</t>
  </si>
  <si>
    <t>Pembersih Kaca 324 IPR</t>
  </si>
  <si>
    <t>ID-1000063</t>
  </si>
  <si>
    <t>Ball Toilet K-31</t>
  </si>
  <si>
    <t>ID-1000064</t>
  </si>
  <si>
    <t>Lap Kuning Sedang</t>
  </si>
  <si>
    <t>ID-1000065</t>
  </si>
  <si>
    <t>Spon Besco BC-689</t>
  </si>
  <si>
    <t>ID-1000066</t>
  </si>
  <si>
    <t>Liquid Pembersih 500ML</t>
  </si>
  <si>
    <t>ID-1000067</t>
  </si>
  <si>
    <t>Sunlight Cuci Piring 650 ML</t>
  </si>
  <si>
    <t>ID-1000068</t>
  </si>
  <si>
    <t>Porstex ungu 2000ml</t>
  </si>
  <si>
    <t>ID-1000069</t>
  </si>
  <si>
    <t>Stella Lemon 400ML</t>
  </si>
  <si>
    <t>ID-1000070</t>
  </si>
  <si>
    <t>Stella Orange 400ML</t>
  </si>
  <si>
    <t>ID-1000071</t>
  </si>
  <si>
    <t>Liquid Lemon Pembersih Refil 440ml</t>
  </si>
  <si>
    <t>ID-1000072</t>
  </si>
  <si>
    <t>Liquid Pembersih orig Refil 440ML</t>
  </si>
  <si>
    <t>ID-1000073</t>
  </si>
  <si>
    <t>Windex Fresh Pump 500ML</t>
  </si>
  <si>
    <t>ID-1000074</t>
  </si>
  <si>
    <t>Kertas Stiker</t>
  </si>
  <si>
    <t>Berbagai Kertas</t>
  </si>
  <si>
    <t>BM-1000057</t>
  </si>
  <si>
    <t>BM-1000060</t>
  </si>
  <si>
    <t>BM-1000075</t>
  </si>
  <si>
    <t>BM-1000076</t>
  </si>
  <si>
    <t>ID-1000075</t>
  </si>
  <si>
    <t>Kenko 200 Binder Clip</t>
  </si>
  <si>
    <t>BAG Folder Imco IM-107A Bag 2K</t>
  </si>
  <si>
    <t>BM-1000001</t>
  </si>
  <si>
    <t>BM-1000002</t>
  </si>
  <si>
    <t>BM-1000003</t>
  </si>
  <si>
    <t>BM-1000004</t>
  </si>
  <si>
    <t>BM-1000005</t>
  </si>
  <si>
    <t>BM-1000006</t>
  </si>
  <si>
    <t>BM-1000007</t>
  </si>
  <si>
    <t>BM-1000008</t>
  </si>
  <si>
    <t>BM-1000009</t>
  </si>
  <si>
    <t>BM-1000010</t>
  </si>
  <si>
    <t>BM-1000011</t>
  </si>
  <si>
    <t>BM-1000012</t>
  </si>
  <si>
    <t>BM-1000013</t>
  </si>
  <si>
    <t>BM-1000014</t>
  </si>
  <si>
    <t>BM-1000015</t>
  </si>
  <si>
    <t>BM-1000016</t>
  </si>
  <si>
    <t>BM-1000017</t>
  </si>
  <si>
    <t>BM-1000018</t>
  </si>
  <si>
    <t>BM-1000019</t>
  </si>
  <si>
    <t>BM-1000020</t>
  </si>
  <si>
    <t>BM-1000021</t>
  </si>
  <si>
    <t>BM-1000022</t>
  </si>
  <si>
    <t>BM-1000023</t>
  </si>
  <si>
    <t>BM-1000024</t>
  </si>
  <si>
    <t>BM-1000025</t>
  </si>
  <si>
    <t>BM-1000026</t>
  </si>
  <si>
    <t>BM-1000027</t>
  </si>
  <si>
    <t>BM-1000028</t>
  </si>
  <si>
    <t>BM-1000029</t>
  </si>
  <si>
    <t>BM-1000030</t>
  </si>
  <si>
    <t>BM-1000031</t>
  </si>
  <si>
    <t>BM-1000032</t>
  </si>
  <si>
    <t>BM-1000033</t>
  </si>
  <si>
    <t>BM-1000034</t>
  </si>
  <si>
    <t>BM-1000035</t>
  </si>
  <si>
    <t>BM-1000036</t>
  </si>
  <si>
    <t>BM-1000037</t>
  </si>
  <si>
    <t>BM-1000038</t>
  </si>
  <si>
    <t>BM-1000039</t>
  </si>
  <si>
    <t>BM-1000040</t>
  </si>
  <si>
    <t>BM-1000041</t>
  </si>
  <si>
    <t>BM-1000042</t>
  </si>
  <si>
    <t>BM-1000043</t>
  </si>
  <si>
    <t>BM-1000044</t>
  </si>
  <si>
    <t>BM-1000045</t>
  </si>
  <si>
    <t>BM-1000046</t>
  </si>
  <si>
    <t>BM-1000047</t>
  </si>
  <si>
    <t>BM-1000048</t>
  </si>
  <si>
    <t>BM-1000049</t>
  </si>
  <si>
    <t>BM-1000050</t>
  </si>
  <si>
    <t>BM-1000051</t>
  </si>
  <si>
    <t>BM-1000052</t>
  </si>
  <si>
    <t>BM-1000053</t>
  </si>
  <si>
    <t>BM-1000054</t>
  </si>
  <si>
    <t>BM-1000055</t>
  </si>
  <si>
    <t>BM-1000056</t>
  </si>
  <si>
    <t>BM-1000058</t>
  </si>
  <si>
    <t>BM-1000059</t>
  </si>
  <si>
    <t>BM-1000061</t>
  </si>
  <si>
    <t>BM-1000062</t>
  </si>
  <si>
    <t>BM-1000063</t>
  </si>
  <si>
    <t>BM-1000064</t>
  </si>
  <si>
    <t>BM-1000066</t>
  </si>
  <si>
    <t>Penghapus Kenko SP-80R</t>
  </si>
  <si>
    <t>BM-1000067</t>
  </si>
  <si>
    <t>BM-1000068</t>
  </si>
  <si>
    <t>BM-1000069</t>
  </si>
  <si>
    <t>BM-1000070</t>
  </si>
  <si>
    <t>BM-1000071</t>
  </si>
  <si>
    <t>BM-1000072</t>
  </si>
  <si>
    <t>BM-1000073</t>
  </si>
  <si>
    <t>BM-1000074</t>
  </si>
  <si>
    <t>BM-1000077</t>
  </si>
  <si>
    <t>BM-1000078</t>
  </si>
  <si>
    <t>Paper Clips No. 5</t>
  </si>
  <si>
    <t>ID-1000076</t>
  </si>
  <si>
    <t>Spidol Snowman Permanen</t>
  </si>
  <si>
    <t>ID-1000077</t>
  </si>
  <si>
    <t>Tinta Stempel Artline</t>
  </si>
  <si>
    <t>Tinta Tulis, Tinta Stempel</t>
  </si>
  <si>
    <t>ID-1000078</t>
  </si>
  <si>
    <t>Lem kertas Joyko</t>
  </si>
  <si>
    <t>ID-1000079</t>
  </si>
  <si>
    <t>Isolasi Bening 12 mm</t>
  </si>
  <si>
    <t>ID-1000080</t>
  </si>
  <si>
    <t>Amplop Buklet Putih 110</t>
  </si>
  <si>
    <t>ID-1000081</t>
  </si>
  <si>
    <t>Binder Clips Kenko No. 107</t>
  </si>
  <si>
    <t>BM-1000079</t>
  </si>
  <si>
    <t>BM-1000081</t>
  </si>
  <si>
    <t>BM-1000082</t>
  </si>
  <si>
    <t>BM-1000083</t>
  </si>
  <si>
    <t>BM-1000084</t>
  </si>
  <si>
    <t>BM-1000085</t>
  </si>
  <si>
    <t>BM-1000086</t>
  </si>
  <si>
    <t>BM-1000080</t>
  </si>
  <si>
    <t>Lusin</t>
  </si>
  <si>
    <t>ID-1000082</t>
  </si>
  <si>
    <t>Sticky Note Pronto</t>
  </si>
  <si>
    <t>BM-1000088</t>
  </si>
  <si>
    <t>ID-1000083</t>
  </si>
  <si>
    <t>Tinta Brother BT 060 BK</t>
  </si>
  <si>
    <t>ID-1000084</t>
  </si>
  <si>
    <t>Tinta Brother BT 5000 Y</t>
  </si>
  <si>
    <t>ID-1000085</t>
  </si>
  <si>
    <t>Tinta Brother BT 5000 M</t>
  </si>
  <si>
    <t>ID-1000086</t>
  </si>
  <si>
    <t>Tinta Brother BT 5000 C</t>
  </si>
  <si>
    <t>BM-1000089</t>
  </si>
  <si>
    <t>BM-1000090</t>
  </si>
  <si>
    <t>BM-1000091</t>
  </si>
  <si>
    <t>BM-1000092</t>
  </si>
  <si>
    <t>BM-1000093</t>
  </si>
  <si>
    <t>BM-1000094</t>
  </si>
  <si>
    <t>BM-1000095</t>
  </si>
  <si>
    <t>ID-1000087</t>
  </si>
  <si>
    <t>Spidol Gold</t>
  </si>
  <si>
    <t>BM-1000096</t>
  </si>
  <si>
    <t>BM-1000097</t>
  </si>
  <si>
    <t>ID-1000088</t>
  </si>
  <si>
    <t>Plastik Laminating</t>
  </si>
  <si>
    <t>BM-1000098</t>
  </si>
  <si>
    <t>BM-1000099</t>
  </si>
  <si>
    <t>ID-1000089</t>
  </si>
  <si>
    <t>Peraut kenko</t>
  </si>
  <si>
    <t>BM-1000100</t>
  </si>
  <si>
    <t>BM-1000101</t>
  </si>
  <si>
    <t>ID-1000090</t>
  </si>
  <si>
    <t>Map Biasa Biola 5002</t>
  </si>
  <si>
    <t>ID-1000091</t>
  </si>
  <si>
    <t>Clipboard Bantex BTI</t>
  </si>
  <si>
    <t>ID-1000092</t>
  </si>
  <si>
    <t>MAP Kancing DF-107</t>
  </si>
  <si>
    <t>ID-1000093</t>
  </si>
  <si>
    <t>Double Tip Foam</t>
  </si>
  <si>
    <t>ID-1000094</t>
  </si>
  <si>
    <t>Lakban 36 x 12 mm</t>
  </si>
  <si>
    <t>ID-1000095</t>
  </si>
  <si>
    <t>Sticky Notes VT-656</t>
  </si>
  <si>
    <t>ID-1000096</t>
  </si>
  <si>
    <t>Stcky Notes YS-183</t>
  </si>
  <si>
    <t>ID-1000097</t>
  </si>
  <si>
    <t>Sticky Notes 21613</t>
  </si>
  <si>
    <t>ID-1000098</t>
  </si>
  <si>
    <t>Double Tape 9 x 24 mm</t>
  </si>
  <si>
    <t>ID-1000099</t>
  </si>
  <si>
    <t>Lakban Ciklat 2 Inci</t>
  </si>
  <si>
    <t>BM-1000102</t>
  </si>
  <si>
    <t>BM-1000103</t>
  </si>
  <si>
    <t>BM-1000104</t>
  </si>
  <si>
    <t>BM-1000105</t>
  </si>
  <si>
    <t>BM-1000106</t>
  </si>
  <si>
    <t>BM-1000107</t>
  </si>
  <si>
    <t>BM-1000108</t>
  </si>
  <si>
    <t>BM-1000109</t>
  </si>
  <si>
    <t>BM-1000110</t>
  </si>
  <si>
    <t>BM-1000111</t>
  </si>
  <si>
    <t>BM-1000112</t>
  </si>
  <si>
    <t>ID-1000100</t>
  </si>
  <si>
    <t>MAP 107A K2</t>
  </si>
  <si>
    <t>BM-1000113</t>
  </si>
  <si>
    <t>BM-1000114</t>
  </si>
  <si>
    <t>BM-1000115</t>
  </si>
  <si>
    <t>BM-1000116</t>
  </si>
  <si>
    <t>BM-1000117</t>
  </si>
  <si>
    <t>BM-1000118</t>
  </si>
  <si>
    <t>BM-1000119</t>
  </si>
  <si>
    <t>BM-1000120</t>
  </si>
  <si>
    <t>BM-1000121</t>
  </si>
  <si>
    <t>ID-1000101</t>
  </si>
  <si>
    <t>Buku Folio</t>
  </si>
  <si>
    <t>Buku</t>
  </si>
  <si>
    <t>BM-1000122</t>
  </si>
  <si>
    <t>BM-1000123</t>
  </si>
  <si>
    <t>BM-1000124</t>
  </si>
  <si>
    <t>BM-1000125</t>
  </si>
  <si>
    <t>BM-1000126</t>
  </si>
  <si>
    <t>BM-1000127</t>
  </si>
  <si>
    <t>No.</t>
  </si>
  <si>
    <t>An. Kepala BPS Kabupaten Jeneponto</t>
  </si>
  <si>
    <t>Imaniar Dwi Aryanti, S.S.TP</t>
  </si>
  <si>
    <t>Barang</t>
  </si>
  <si>
    <t>Fungsi</t>
  </si>
  <si>
    <t>BM-1000128</t>
  </si>
  <si>
    <t>BM-1000130</t>
  </si>
  <si>
    <t>Harga</t>
  </si>
  <si>
    <t>ID-1000102</t>
  </si>
  <si>
    <t>Pronto Mark &amp; Note SMP/SET</t>
  </si>
  <si>
    <t>ID-1000103</t>
  </si>
  <si>
    <t>Bantex 8843 08 F4 pocket @20 BTI</t>
  </si>
  <si>
    <t>ID-1000104</t>
  </si>
  <si>
    <t>TN Box Arsip L ELA/BH</t>
  </si>
  <si>
    <t>ID-1000105</t>
  </si>
  <si>
    <t>TN Box Arsip M ELA/BH</t>
  </si>
  <si>
    <t>ID-1000106</t>
  </si>
  <si>
    <t>Biola 5002 Map Biasa @50 Ep/PAK</t>
  </si>
  <si>
    <t>BM-1000131</t>
  </si>
  <si>
    <t>BM-1000132</t>
  </si>
  <si>
    <t>BM-1000133</t>
  </si>
  <si>
    <t>BM-1000134</t>
  </si>
  <si>
    <t>BM-1000135</t>
  </si>
  <si>
    <t>BM-1000136</t>
  </si>
  <si>
    <t>ID-1000107</t>
  </si>
  <si>
    <t>Headphone Wireless</t>
  </si>
  <si>
    <t>BM-1000137</t>
  </si>
  <si>
    <t>BM-1000138</t>
  </si>
  <si>
    <t>BM-1000139</t>
  </si>
  <si>
    <t>BM-1000140</t>
  </si>
  <si>
    <t>BM-1000141</t>
  </si>
  <si>
    <t>BM-1000142</t>
  </si>
  <si>
    <t>BM-1000143</t>
  </si>
  <si>
    <t>BM-1000144</t>
  </si>
  <si>
    <t>BM-1000145</t>
  </si>
  <si>
    <t>ID-1000108</t>
  </si>
  <si>
    <t>Bag Folder Imco IM-107 MAP K Emsi/LN</t>
  </si>
  <si>
    <t>ID-1000109</t>
  </si>
  <si>
    <t>Blok Note No. 15 Kuning Ela/Lsn</t>
  </si>
  <si>
    <t>ID-1000111</t>
  </si>
  <si>
    <t>Blok Note No. 15 Biru Ela/Lsn</t>
  </si>
  <si>
    <t>ID-1000112</t>
  </si>
  <si>
    <t>Bantex 4011 21 Jb Box File</t>
  </si>
  <si>
    <t>ID-1000113</t>
  </si>
  <si>
    <t>Bantex 4011 22 Jb Box File</t>
  </si>
  <si>
    <t>ID-1000114</t>
  </si>
  <si>
    <t>Bantex 4011 62 Jb Box File</t>
  </si>
  <si>
    <t>ID-1000115</t>
  </si>
  <si>
    <t>Greebel No. 10-1M Staples@20</t>
  </si>
  <si>
    <t>Dus</t>
  </si>
  <si>
    <t>ID-1000116</t>
  </si>
  <si>
    <t>Kenko No. 5 JMB@10P.Clips</t>
  </si>
  <si>
    <t>ID-1000117</t>
  </si>
  <si>
    <t>Kenko 111 Binder Clip BM/Lsn</t>
  </si>
  <si>
    <t>ID-1000118</t>
  </si>
  <si>
    <t>Kenko 155 Binder Clip BM/Lsn</t>
  </si>
  <si>
    <t>ID-1000119</t>
  </si>
  <si>
    <t>Kenko 260 Binder Clip BM/Lsn</t>
  </si>
  <si>
    <t>ID-1000120</t>
  </si>
  <si>
    <t>Kenko No.1@10 Paper Clip BM/Lsn</t>
  </si>
  <si>
    <t>ID-1000121</t>
  </si>
  <si>
    <t>Kenko No. 300 Binder Clip @6</t>
  </si>
  <si>
    <t>ID-1000122</t>
  </si>
  <si>
    <t>Benefit GP-1 Gelpen Hitam</t>
  </si>
  <si>
    <t>ID-1000123</t>
  </si>
  <si>
    <t>Standar Pen P5 0.7</t>
  </si>
  <si>
    <t>ID-1000124</t>
  </si>
  <si>
    <t>Sticky Note Pronto Film Arrow 24 x 45 mm</t>
  </si>
  <si>
    <t>ID-1000125</t>
  </si>
  <si>
    <t>Sticky Note Hopax 21689 Paper Index</t>
  </si>
  <si>
    <t>ID-1000126</t>
  </si>
  <si>
    <t>Sticky Note Trifelo TF 654-8C</t>
  </si>
  <si>
    <t>ID-1000127</t>
  </si>
  <si>
    <t>Kenko HD-50 Stapler</t>
  </si>
  <si>
    <t>ID-1000128</t>
  </si>
  <si>
    <t>ID-1000129</t>
  </si>
  <si>
    <t>Gunting Novus SC-02 SIM</t>
  </si>
  <si>
    <t>Gunting Ideal K-400 KK/BH</t>
  </si>
  <si>
    <t>ID-1000130</t>
  </si>
  <si>
    <t>Spidol Snowman 612</t>
  </si>
  <si>
    <t>ID-1000131</t>
  </si>
  <si>
    <t>Tas Lipat Rocket Rthls25 Smpg LBR</t>
  </si>
  <si>
    <t>ID-1000132</t>
  </si>
  <si>
    <t>Tas Handel Lipat Smpg THLS30</t>
  </si>
  <si>
    <t>ID-1000133</t>
  </si>
  <si>
    <t>Gunting Montana STI-180 BHS</t>
  </si>
  <si>
    <t>BM-1000146</t>
  </si>
  <si>
    <t>BM-1000147</t>
  </si>
  <si>
    <t>BM-1000148</t>
  </si>
  <si>
    <t>BM-1000149</t>
  </si>
  <si>
    <t>BM-1000150</t>
  </si>
  <si>
    <t>BM-1000151</t>
  </si>
  <si>
    <t>BM-1000152</t>
  </si>
  <si>
    <t>BM-1000153</t>
  </si>
  <si>
    <t>BM-1000154</t>
  </si>
  <si>
    <t>BM-1000155</t>
  </si>
  <si>
    <t>BM-1000156</t>
  </si>
  <si>
    <t>BM-1000157</t>
  </si>
  <si>
    <t>BM-1000158</t>
  </si>
  <si>
    <t>BM-1000159</t>
  </si>
  <si>
    <t>BM-1000160</t>
  </si>
  <si>
    <t>BM-1000161</t>
  </si>
  <si>
    <t>BM-1000162</t>
  </si>
  <si>
    <t>BM-1000163</t>
  </si>
  <si>
    <t>BM-1000164</t>
  </si>
  <si>
    <t>BM-1000165</t>
  </si>
  <si>
    <t>BM-1000166</t>
  </si>
  <si>
    <t>BM-1000167</t>
  </si>
  <si>
    <t>BM-1000168</t>
  </si>
  <si>
    <t>BM-1000169</t>
  </si>
  <si>
    <t>BM-1000170</t>
  </si>
  <si>
    <t>BM-1000171</t>
  </si>
  <si>
    <t>BM-1000172</t>
  </si>
  <si>
    <t>BM-1000173</t>
  </si>
  <si>
    <t>ID-1000135</t>
  </si>
  <si>
    <t>Staples Joyko 3-1M 24/6 BM</t>
  </si>
  <si>
    <t>BM-1000174</t>
  </si>
  <si>
    <t>BM-1000176</t>
  </si>
  <si>
    <t>BM-1000177</t>
  </si>
  <si>
    <t>Kenko SP-80R Rautan</t>
  </si>
  <si>
    <t>Toples</t>
  </si>
  <si>
    <t>BM-1000178</t>
  </si>
  <si>
    <t>ID-1000136</t>
  </si>
  <si>
    <t>Maintenance Box Epson 15160</t>
  </si>
  <si>
    <t>Komputer Supplies</t>
  </si>
  <si>
    <t>ID-1000137</t>
  </si>
  <si>
    <t>Clipboard Cover 4211 64 BTI</t>
  </si>
  <si>
    <t>BM-1000179</t>
  </si>
  <si>
    <t>BM-1000180</t>
  </si>
  <si>
    <t>BM-1000181</t>
  </si>
  <si>
    <t>ID-1000138</t>
  </si>
  <si>
    <t>Bantex Ordner</t>
  </si>
  <si>
    <t>BM-1000183</t>
  </si>
  <si>
    <t>&gt;=</t>
  </si>
  <si>
    <t>&lt;=</t>
  </si>
  <si>
    <t>Kotak</t>
  </si>
  <si>
    <t>BM-1000184</t>
  </si>
  <si>
    <t>BM-1000185</t>
  </si>
  <si>
    <t>BM-1000187</t>
  </si>
  <si>
    <t>ID-1000139</t>
  </si>
  <si>
    <t>Pointer Laser Logitech R 400</t>
  </si>
  <si>
    <t>BM-1000186</t>
  </si>
  <si>
    <t>ID-1000140</t>
  </si>
  <si>
    <t>Spidol Tinta Emas</t>
  </si>
  <si>
    <t>BM-1000188</t>
  </si>
  <si>
    <t>BM-1000189</t>
  </si>
  <si>
    <t>BM-1000190</t>
  </si>
  <si>
    <t>ID-1000141</t>
  </si>
  <si>
    <t>Amplop Biola Samson</t>
  </si>
  <si>
    <t>BM-1000191</t>
  </si>
  <si>
    <t>BM-1000192</t>
  </si>
  <si>
    <t>BM-1000193</t>
  </si>
  <si>
    <t>BM-1000195</t>
  </si>
  <si>
    <t>ID-1000142</t>
  </si>
  <si>
    <t>Imco MAP Kancing</t>
  </si>
  <si>
    <t>BM-1000196</t>
  </si>
  <si>
    <t>BM-1000197</t>
  </si>
  <si>
    <t>BM-1000198</t>
  </si>
  <si>
    <t>BM-1000199</t>
  </si>
  <si>
    <t>BM-1000200</t>
  </si>
  <si>
    <t>BM-1000201</t>
  </si>
  <si>
    <t>BM-1000202</t>
  </si>
  <si>
    <t>BM-1000203</t>
  </si>
  <si>
    <t>ID-1000143</t>
  </si>
  <si>
    <t>Mouse Pad</t>
  </si>
  <si>
    <t>Peralatan Komputer</t>
  </si>
  <si>
    <t>BM-1000204</t>
  </si>
  <si>
    <t>BM-1000205</t>
  </si>
  <si>
    <t>BM-1000206</t>
  </si>
  <si>
    <t>BM-1000207</t>
  </si>
  <si>
    <t>ID-1000144</t>
  </si>
  <si>
    <t>Amplop Paperline 104</t>
  </si>
  <si>
    <t>BM-1000208</t>
  </si>
  <si>
    <t>BM-1000209</t>
  </si>
  <si>
    <t>ID-1000145</t>
  </si>
  <si>
    <t>Kertas Foto</t>
  </si>
  <si>
    <t>Pcs</t>
  </si>
  <si>
    <t>BM-1000210</t>
  </si>
  <si>
    <t>ID-1000146</t>
  </si>
  <si>
    <t>Flash Disk HP V-150 64 GB</t>
  </si>
  <si>
    <t>ID-1000147</t>
  </si>
  <si>
    <t>Flash Disk Sandisk Dual Drive Go 64GB (OTG USB) Type C</t>
  </si>
  <si>
    <t>ID-1000148</t>
  </si>
  <si>
    <t>Flash Disk Sandisk Dual Drive Go 128GB (OTG USB) Type C 400 MB/s</t>
  </si>
  <si>
    <t>ID-1000149</t>
  </si>
  <si>
    <t>Flash Disk Sandisk Dual Drive LUXE USB 3.1 128GB (Type C)</t>
  </si>
  <si>
    <t>ID-1000150</t>
  </si>
  <si>
    <t>Flash Disk Sandisk Dual Drive LUXE USB 3.1 64GB (Type C)</t>
  </si>
  <si>
    <t>BM-1000211</t>
  </si>
  <si>
    <t>BM-1000212</t>
  </si>
  <si>
    <t>BM-1000213</t>
  </si>
  <si>
    <t>BM-1000214</t>
  </si>
  <si>
    <t>BM-1000215</t>
  </si>
  <si>
    <t>ID-1000151</t>
  </si>
  <si>
    <t>Headset Rexux Bluetooth BT7 Black</t>
  </si>
  <si>
    <t>ID-1000152</t>
  </si>
  <si>
    <t>Headset Rexux Bluetooth BT7 White</t>
  </si>
  <si>
    <t>ID-1000153</t>
  </si>
  <si>
    <t>Headset Rexux Bluetooth BT7 Lilac</t>
  </si>
  <si>
    <t>ID-1000154</t>
  </si>
  <si>
    <t>Headset Logitech H-111</t>
  </si>
  <si>
    <t>ID-1000155</t>
  </si>
  <si>
    <t>ID-1000156</t>
  </si>
  <si>
    <t>Mouse Pad Polos</t>
  </si>
  <si>
    <t>BM-1000216</t>
  </si>
  <si>
    <t>BM-1000217</t>
  </si>
  <si>
    <t>BM-1000218</t>
  </si>
  <si>
    <t>BM-1000219</t>
  </si>
  <si>
    <t>BM-1000220</t>
  </si>
  <si>
    <t>Headset Logitech H-110</t>
  </si>
  <si>
    <t>ID-1000157</t>
  </si>
  <si>
    <t>Webcam Logitech C270 HD</t>
  </si>
  <si>
    <t>BM-1000221</t>
  </si>
  <si>
    <t>BM-1000222</t>
  </si>
  <si>
    <t>ID-1000159</t>
  </si>
  <si>
    <t>Papan CLIPBOARD W/COVER 4211 62 BTI</t>
  </si>
  <si>
    <t>ID-1000160</t>
  </si>
  <si>
    <t>Papan BANTEX 4211 24 CLIPBOARD BTI</t>
  </si>
  <si>
    <t>ID-1000161</t>
  </si>
  <si>
    <t>Papan CLIPBOARD W/COVER 4211 64 BTI</t>
  </si>
  <si>
    <t>ID-1000162</t>
  </si>
  <si>
    <t>Papan CLIPBOARD W/COVER 4211 65 BTI</t>
  </si>
  <si>
    <t>ID-1000163</t>
  </si>
  <si>
    <t>Box File BANTEX 4011 24 BOX FILE JMB BTI</t>
  </si>
  <si>
    <t>ID-1000164</t>
  </si>
  <si>
    <t>Box File BANTEX 4011 21 JB BOX FILE BTI</t>
  </si>
  <si>
    <t>ID-1000165</t>
  </si>
  <si>
    <t>Box File BANTEX 4011  62 JB BOX FILE /BH</t>
  </si>
  <si>
    <t>ID-1000166</t>
  </si>
  <si>
    <t>Box File BANTEX 4011 12 BOX FILE  JMB BTI</t>
  </si>
  <si>
    <t>ID-1000167</t>
  </si>
  <si>
    <t>Box File BANTEX 4011 76 JB BOX FILE BTI</t>
  </si>
  <si>
    <t>ID-1000169</t>
  </si>
  <si>
    <t>Gunting M&amp;G ASS91435 SCISSORS WGT/BH</t>
  </si>
  <si>
    <t>ID-1000171</t>
  </si>
  <si>
    <t>Gunting ALLIGATOR BIG SCISSORS RED SMS/BH</t>
  </si>
  <si>
    <t>ID-1000173</t>
  </si>
  <si>
    <t>Gunting NOVUS SC-03 GUNTING SIM/BH</t>
  </si>
  <si>
    <t>ID-1000174</t>
  </si>
  <si>
    <t>Gunting ALIGATOR BIG SCISSORS BLUE SMS/BH</t>
  </si>
  <si>
    <t>ID-1000175</t>
  </si>
  <si>
    <t>Cutter V-TEC CUTTER KNIFEE L-500 18MM/PCS</t>
  </si>
  <si>
    <t>ID-1000176</t>
  </si>
  <si>
    <t>Cutter KATENAI HX358/F-17 CUTTER 18MM JM/BH</t>
  </si>
  <si>
    <t>ID-1000178</t>
  </si>
  <si>
    <t>Pulpen KENKO KE-600 O.5 PEN BM/LSN</t>
  </si>
  <si>
    <t>ID-1000180</t>
  </si>
  <si>
    <t>Lakban DAIMARU 24X5M DBL FOAM EKA/ROL</t>
  </si>
  <si>
    <t>ID-1000181</t>
  </si>
  <si>
    <t>Stapler GREEBEL STAPLER ICON BDK/BH</t>
  </si>
  <si>
    <t>ID-1000182</t>
  </si>
  <si>
    <t>Stapler DELI REMOVER NO.O231 ATK/BH</t>
  </si>
  <si>
    <t>ID-1000183</t>
  </si>
  <si>
    <t>Kertas Memo PRONTO MARK&amp;NOTE SMP/SET</t>
  </si>
  <si>
    <t>ID-1000184</t>
  </si>
  <si>
    <t>ID-1000186</t>
  </si>
  <si>
    <t>Sticky Note DELI A106 POST IT ATK</t>
  </si>
  <si>
    <t>ID-1000187</t>
  </si>
  <si>
    <t>Sticky Note STICK N CUBE 21203 NEON RAINBOW SIM</t>
  </si>
  <si>
    <t>ID-1000188</t>
  </si>
  <si>
    <t>Sticky Note M&amp;G STICKY NOTES YS-183 WGT/BKS</t>
  </si>
  <si>
    <t>ID-1000189</t>
  </si>
  <si>
    <t>Pulpen M&amp;G AGP12372 BALL PEN BLACK WGT/LSN</t>
  </si>
  <si>
    <t>ID-1000190</t>
  </si>
  <si>
    <t>Double Tape JETA D.TAPE 9MX24MMX90 SMP/ROL</t>
  </si>
  <si>
    <t>ID-1000191</t>
  </si>
  <si>
    <t>Lakban HOKI LAKBAN FULL B/C 48MMX90Y SKM/R</t>
  </si>
  <si>
    <t>ID-1000192</t>
  </si>
  <si>
    <t>Lakban DAIMARU 48X12M LAKBAN HTM EKA/ROL</t>
  </si>
  <si>
    <t>ID-1000193</t>
  </si>
  <si>
    <t>Lakban JETA OPP TAPE 100MX48MMX45 BNG SMP/</t>
  </si>
  <si>
    <t>ID-1000194</t>
  </si>
  <si>
    <t>Lakban JETA OPP TAPE 80MX48MMX45 BNG/CKLT</t>
  </si>
  <si>
    <t>ID-1000195</t>
  </si>
  <si>
    <t>Sticky Note STICK N CUBE 21535 51X51MM PST</t>
  </si>
  <si>
    <t>ID-1000196</t>
  </si>
  <si>
    <t>Sticky Note HOPAX STICKN CUBE 21533 PST</t>
  </si>
  <si>
    <t>ID-1000197</t>
  </si>
  <si>
    <t>Amplop PAPERLINE ENV 110 PPS AMPLOP SMP</t>
  </si>
  <si>
    <t>ID-1000198</t>
  </si>
  <si>
    <t>Pengahapus Pensil JOYKO 526 40BL/CO@40STIP BM/PAK</t>
  </si>
  <si>
    <t>ID-1000200</t>
  </si>
  <si>
    <t>Paper Clip JOYKO NO.3 @10 P.CLIPS BM/PAK</t>
  </si>
  <si>
    <t>ID-1000201</t>
  </si>
  <si>
    <t>Binder Clip KENKO 280 BINDER CLIPS@6 BM/PAK</t>
  </si>
  <si>
    <t>ID-1000202</t>
  </si>
  <si>
    <t>Tipex TOMBOW MONO CT-CX4 CRRTN+REF SMP</t>
  </si>
  <si>
    <t>ID-1000203</t>
  </si>
  <si>
    <t>STABILO BOSS BLUE 70/31/PCS</t>
  </si>
  <si>
    <t>ID-1000204</t>
  </si>
  <si>
    <t>STABILO BOSS 70/55 /BH</t>
  </si>
  <si>
    <t>ID-1000205</t>
  </si>
  <si>
    <t>STABILO BOSS PINK /PCS</t>
  </si>
  <si>
    <t>ID-1000206</t>
  </si>
  <si>
    <t>Rautan JOYKO B-145 SHARPENER @24 BM/DRUM</t>
  </si>
  <si>
    <t>ID-1000207</t>
  </si>
  <si>
    <t>Amplop BIOLA/EXEC D PLS SEAL AMPLOP BM/PAK</t>
  </si>
  <si>
    <t>ID-1000208</t>
  </si>
  <si>
    <t>TAS KAIN PLS M 30X40 ABP/LSN</t>
  </si>
  <si>
    <t>ID-1000209</t>
  </si>
  <si>
    <t>Map D-FILE DF-107A MAP K2 EMSI/LSN</t>
  </si>
  <si>
    <t>BM-1000223</t>
  </si>
  <si>
    <t>BM-1000224</t>
  </si>
  <si>
    <t>BM-1000225</t>
  </si>
  <si>
    <t>BM-1000226</t>
  </si>
  <si>
    <t>BM-1000227</t>
  </si>
  <si>
    <t>BM-1000228</t>
  </si>
  <si>
    <t>BM-1000229</t>
  </si>
  <si>
    <t>BM-1000230</t>
  </si>
  <si>
    <t>BM-1000231</t>
  </si>
  <si>
    <t>BM-1000232</t>
  </si>
  <si>
    <t>BM-1000233</t>
  </si>
  <si>
    <t>BM-1000234</t>
  </si>
  <si>
    <t>BM-1000235</t>
  </si>
  <si>
    <t>BM-1000236</t>
  </si>
  <si>
    <t>BM-1000237</t>
  </si>
  <si>
    <t>BM-1000238</t>
  </si>
  <si>
    <t>BM-1000239</t>
  </si>
  <si>
    <t>BM-1000240</t>
  </si>
  <si>
    <t>BM-1000241</t>
  </si>
  <si>
    <t>BM-1000242</t>
  </si>
  <si>
    <t>BM-1000243</t>
  </si>
  <si>
    <t>BM-1000244</t>
  </si>
  <si>
    <t>BM-1000245</t>
  </si>
  <si>
    <t>BM-1000246</t>
  </si>
  <si>
    <t>BM-1000247</t>
  </si>
  <si>
    <t>BM-1000248</t>
  </si>
  <si>
    <t>BM-1000249</t>
  </si>
  <si>
    <t>BM-1000250</t>
  </si>
  <si>
    <t>BM-1000251</t>
  </si>
  <si>
    <t>BM-1000252</t>
  </si>
  <si>
    <t>BM-1000253</t>
  </si>
  <si>
    <t>BM-1000254</t>
  </si>
  <si>
    <t>BM-1000255</t>
  </si>
  <si>
    <t>BM-1000256</t>
  </si>
  <si>
    <t>BM-1000257</t>
  </si>
  <si>
    <t>BM-1000258</t>
  </si>
  <si>
    <t>BM-1000259</t>
  </si>
  <si>
    <t>BM-1000260</t>
  </si>
  <si>
    <t>BM-1000262</t>
  </si>
  <si>
    <t>BM-1000263</t>
  </si>
  <si>
    <t>BM-1000264</t>
  </si>
  <si>
    <t>BM-1000265</t>
  </si>
  <si>
    <t>BM-1000266</t>
  </si>
  <si>
    <t>BM-1000267</t>
  </si>
  <si>
    <t>BM-1000268</t>
  </si>
  <si>
    <t>BM-1000269</t>
  </si>
  <si>
    <t>BM-1000270</t>
  </si>
  <si>
    <t>BM-1000271</t>
  </si>
  <si>
    <t>BM-1000272</t>
  </si>
  <si>
    <t>BM-1000274</t>
  </si>
  <si>
    <t>BM-1000275</t>
  </si>
  <si>
    <t>BM-1000276</t>
  </si>
  <si>
    <t>ID-1000210</t>
  </si>
  <si>
    <t>Binder Clips Joyko 111 BM/Gross</t>
  </si>
  <si>
    <t>ID-1000211</t>
  </si>
  <si>
    <t>Binder Clips Joyko 107 BM/Gross</t>
  </si>
  <si>
    <t>ID-1000212</t>
  </si>
  <si>
    <t>Binder Clip Kenko 200 BM/Lsn</t>
  </si>
  <si>
    <t>ID-1000213</t>
  </si>
  <si>
    <t>Binder Clips Joyko 200 BM/Lsn</t>
  </si>
  <si>
    <t>BM-1000277</t>
  </si>
  <si>
    <t>BM-1000278</t>
  </si>
  <si>
    <t>BM-1000279</t>
  </si>
  <si>
    <t>BM-1000280</t>
  </si>
  <si>
    <t>BM-1000281</t>
  </si>
  <si>
    <t>BM-1000282</t>
  </si>
  <si>
    <t>BM-1000283</t>
  </si>
  <si>
    <t>BM-1000284</t>
  </si>
  <si>
    <t>BM-1000285</t>
  </si>
  <si>
    <t>BM-1000286</t>
  </si>
  <si>
    <t>BM-1000287</t>
  </si>
  <si>
    <t>Lakban Coklat 2 Inci</t>
  </si>
  <si>
    <t>Kenko Mata Cutter L-150</t>
  </si>
  <si>
    <t>ID-1000214</t>
  </si>
  <si>
    <t>Tanggal Pengambilan</t>
  </si>
  <si>
    <t>Yang Menerima</t>
  </si>
  <si>
    <t>ID-1000215</t>
  </si>
  <si>
    <t>Kertas Piagam Linen Polio Polos</t>
  </si>
  <si>
    <t>Kertas Dan Cover Lainnya</t>
  </si>
  <si>
    <t>BM-1000288</t>
  </si>
  <si>
    <t>BM-1000289</t>
  </si>
  <si>
    <t>BM-1000290</t>
  </si>
  <si>
    <t>BM-1000291</t>
  </si>
  <si>
    <t>BM-1000292</t>
  </si>
  <si>
    <t>BM-1000293</t>
  </si>
  <si>
    <t>BM-1000294</t>
  </si>
  <si>
    <t>BM-1000295</t>
  </si>
  <si>
    <t>BM-1000296</t>
  </si>
  <si>
    <t>BM-1000297</t>
  </si>
  <si>
    <t>BM-1000298</t>
  </si>
  <si>
    <t>BM-1000299</t>
  </si>
  <si>
    <t>BM-1000300</t>
  </si>
  <si>
    <t>BM-1000301</t>
  </si>
  <si>
    <t>BM-1000302</t>
  </si>
  <si>
    <t>ID-1000216</t>
  </si>
  <si>
    <t>Kabel Mini HDMI Male To HDMI Female</t>
  </si>
  <si>
    <t>Bahan Komputer Lainnya</t>
  </si>
  <si>
    <t>BM-1000303</t>
  </si>
  <si>
    <t>BM-1000304</t>
  </si>
  <si>
    <t>ID-1000217</t>
  </si>
  <si>
    <t>Headset Logitech H-151</t>
  </si>
  <si>
    <t>ID-1000218</t>
  </si>
  <si>
    <t>Switch Hub TP-Link Gigabit SG105 5 Port</t>
  </si>
  <si>
    <t>ID-1000219</t>
  </si>
  <si>
    <t>Webcam Logitech C505</t>
  </si>
  <si>
    <t>ID-1000220</t>
  </si>
  <si>
    <t>Speaker M-Tech 2.0 A1</t>
  </si>
  <si>
    <t>BM-1000305</t>
  </si>
  <si>
    <t>BM-1000306</t>
  </si>
  <si>
    <t>BM-1000307</t>
  </si>
  <si>
    <t>BM-1000308</t>
  </si>
  <si>
    <t>BK-1000001</t>
  </si>
  <si>
    <t>Nur Azizah Tajuddin, A.Md</t>
  </si>
  <si>
    <t>UMUM</t>
  </si>
  <si>
    <t>BK-1000002</t>
  </si>
  <si>
    <t>Madsutriman Achmad, S.Si</t>
  </si>
  <si>
    <t>PRODUKSI</t>
  </si>
  <si>
    <t>BK-1000003</t>
  </si>
  <si>
    <t xml:space="preserve">Kasmawati Saleng, SE </t>
  </si>
  <si>
    <t>DISTRIBUSI</t>
  </si>
  <si>
    <t>BK-1000004</t>
  </si>
  <si>
    <t>BK-1000005</t>
  </si>
  <si>
    <t>Andi Sri Rahmawati A.Md</t>
  </si>
  <si>
    <t>BK-1000006</t>
  </si>
  <si>
    <t>Dicki Abdurohman, S.Tr.Stat</t>
  </si>
  <si>
    <t>Nur Lianasari A.Md.Stat</t>
  </si>
  <si>
    <t>BK-1000007</t>
  </si>
  <si>
    <t>Zainika Ichtarona, S.Tr.Stat</t>
  </si>
  <si>
    <t>BK-1000008</t>
  </si>
  <si>
    <t>BK-1000009</t>
  </si>
  <si>
    <t xml:space="preserve">Rima Mayyadah S.Tr.Stat </t>
  </si>
  <si>
    <t>SOSIAL</t>
  </si>
  <si>
    <t>BK-1000010</t>
  </si>
  <si>
    <t>Muh. Reza Agung Wirawan, A.Md.Stat</t>
  </si>
  <si>
    <t>BK-1000011</t>
  </si>
  <si>
    <t>Achmad Syahrul Ramadhani, A.Md</t>
  </si>
  <si>
    <t>BK-1000012</t>
  </si>
  <si>
    <t>BK-1000013</t>
  </si>
  <si>
    <t>BK-1000014</t>
  </si>
  <si>
    <t>BK-1000015</t>
  </si>
  <si>
    <t>Ian Tryaldi Halim, S.Tr.Stat</t>
  </si>
  <si>
    <t>NERACA</t>
  </si>
  <si>
    <t>BK-1000016</t>
  </si>
  <si>
    <t>BK-1000017</t>
  </si>
  <si>
    <t>BK-1000018</t>
  </si>
  <si>
    <t>BK-1000019</t>
  </si>
  <si>
    <t>BK-1000020</t>
  </si>
  <si>
    <t xml:space="preserve">Muhammad Muawwad MS S.Tr.Stat </t>
  </si>
  <si>
    <t>IPDS</t>
  </si>
  <si>
    <t>BK-1000021</t>
  </si>
  <si>
    <t>Misbahuddin, S.Si</t>
  </si>
  <si>
    <t>BK-1000022</t>
  </si>
  <si>
    <t>BK-1000023</t>
  </si>
  <si>
    <t>BK-1000024</t>
  </si>
  <si>
    <t>BM-1000309</t>
  </si>
  <si>
    <t>BK-1000025</t>
  </si>
  <si>
    <t>BK-1000026</t>
  </si>
  <si>
    <t>BM-1000311</t>
  </si>
  <si>
    <t>BK-1000027</t>
  </si>
  <si>
    <t>BK-1000028</t>
  </si>
  <si>
    <t>BK-1000029</t>
  </si>
  <si>
    <t>BM-1000312</t>
  </si>
  <si>
    <t>BM-1000313</t>
  </si>
  <si>
    <t>BM-1000314</t>
  </si>
  <si>
    <t>BM-1000315</t>
  </si>
  <si>
    <t>BM-1000316</t>
  </si>
  <si>
    <t>BM-1000317</t>
  </si>
  <si>
    <t>BM-1000318</t>
  </si>
  <si>
    <t>BM-1000319</t>
  </si>
  <si>
    <t>BM-1000320</t>
  </si>
  <si>
    <t>ID-1000221</t>
  </si>
  <si>
    <t>Sticky Note Joyko Index &amp; Memo IM-33 BM</t>
  </si>
  <si>
    <t>ID-1000222</t>
  </si>
  <si>
    <t>Sticky Note M&amp;G AS33U1777</t>
  </si>
  <si>
    <t>ID-1000223</t>
  </si>
  <si>
    <t>Lem Kenko Stick 25 AJ/PCS</t>
  </si>
  <si>
    <t>ID-1000224</t>
  </si>
  <si>
    <t>Sticky Note Joyko Index &amp; Memo  IM-32</t>
  </si>
  <si>
    <t>ID-1000225</t>
  </si>
  <si>
    <t>Sticky Note Hopax 21007</t>
  </si>
  <si>
    <t>ID-1000226</t>
  </si>
  <si>
    <t>Pulpen Kenko KE-600 .5</t>
  </si>
  <si>
    <t>ID-1000227</t>
  </si>
  <si>
    <t>Pulpen Greebel Viero Gel Pen GP-504</t>
  </si>
  <si>
    <t>BM-1000321</t>
  </si>
  <si>
    <t>BM-1000322</t>
  </si>
  <si>
    <t>BM-1000323</t>
  </si>
  <si>
    <t>BM-1000324</t>
  </si>
  <si>
    <t>BM-1000325</t>
  </si>
  <si>
    <t>BM-1000326</t>
  </si>
  <si>
    <t>BM-1000327</t>
  </si>
  <si>
    <t>BM-1000328</t>
  </si>
  <si>
    <t>BM-1000329</t>
  </si>
  <si>
    <t>BM-1000330</t>
  </si>
  <si>
    <t>BK-1000030</t>
  </si>
  <si>
    <t>BK-1000031</t>
  </si>
  <si>
    <t>Sudarnati M</t>
  </si>
  <si>
    <t>BK-1000032</t>
  </si>
  <si>
    <t>BK-1000033</t>
  </si>
  <si>
    <t>BK-1000034</t>
  </si>
  <si>
    <t>BK-1000035</t>
  </si>
  <si>
    <t>Imaniar Dwi Aryanti S, S.TP</t>
  </si>
  <si>
    <t>BK-1000036</t>
  </si>
  <si>
    <t>BK-1000037</t>
  </si>
  <si>
    <t>Sapril, A.Md.Kom</t>
  </si>
  <si>
    <t>BK-1000039</t>
  </si>
  <si>
    <t>BK-1000040</t>
  </si>
  <si>
    <t>BK-1000041</t>
  </si>
  <si>
    <t>BK-1000042</t>
  </si>
  <si>
    <t>BK-1000043</t>
  </si>
  <si>
    <t>BK-1000044</t>
  </si>
  <si>
    <t>BK-1000045</t>
  </si>
  <si>
    <t>BK-1000046</t>
  </si>
  <si>
    <t>Mardiah S.Si</t>
  </si>
  <si>
    <t>BK-1000047</t>
  </si>
  <si>
    <t>BK-1000048</t>
  </si>
  <si>
    <t>BK-1000049</t>
  </si>
  <si>
    <t>BK-1000050</t>
  </si>
  <si>
    <t>BK-1000051</t>
  </si>
  <si>
    <t>BK-1000052</t>
  </si>
  <si>
    <t>BK-1000053</t>
  </si>
  <si>
    <t>BM-1000331</t>
  </si>
  <si>
    <t>ID-1000228</t>
  </si>
  <si>
    <t>Lakban Hitam</t>
  </si>
  <si>
    <t>Rol</t>
  </si>
  <si>
    <t>BM-1000332</t>
  </si>
  <si>
    <t>BM-1000333</t>
  </si>
  <si>
    <t>BK-1000054</t>
  </si>
  <si>
    <t>BK-1000055</t>
  </si>
  <si>
    <t>BK-1000056</t>
  </si>
  <si>
    <t>BK-1000057</t>
  </si>
  <si>
    <t>BK-1000058</t>
  </si>
  <si>
    <t>BK-1000059</t>
  </si>
  <si>
    <t>BK-1000060</t>
  </si>
  <si>
    <t>BK-1000061</t>
  </si>
  <si>
    <t>BK-1000062</t>
  </si>
  <si>
    <t>BM-1000334</t>
  </si>
  <si>
    <t>BM-1000335</t>
  </si>
  <si>
    <t>BM-1000336</t>
  </si>
  <si>
    <t>BM-1000337</t>
  </si>
  <si>
    <t>ID-1000229</t>
  </si>
  <si>
    <t>Kertas BC Lux A3 Putih Karton</t>
  </si>
  <si>
    <t>ID-1000230</t>
  </si>
  <si>
    <t>Kertas Linen A3 Tebal Putih Karton</t>
  </si>
  <si>
    <t>ID-1000231</t>
  </si>
  <si>
    <t>Amplop PAPERLINE ENV 90 PPS AMPLOP SMP</t>
  </si>
  <si>
    <t>BM-1000338</t>
  </si>
  <si>
    <t>BM-1000339</t>
  </si>
  <si>
    <t>BM-1000340</t>
  </si>
  <si>
    <t>ID-1000232</t>
  </si>
  <si>
    <t>Tinta Epson 001 Black</t>
  </si>
  <si>
    <t>ID-1000233</t>
  </si>
  <si>
    <t>Tinta Epson 001 Cyan</t>
  </si>
  <si>
    <t>ID-1000234</t>
  </si>
  <si>
    <t>Tinta Epson 001 Magenta</t>
  </si>
  <si>
    <t>ID-1000235</t>
  </si>
  <si>
    <t>Tinta Epson 001 Yellow</t>
  </si>
  <si>
    <t>BM-1000341</t>
  </si>
  <si>
    <t>BM-1000342</t>
  </si>
  <si>
    <t>BM-1000343</t>
  </si>
  <si>
    <t>BM-1000344</t>
  </si>
  <si>
    <t>ID-1000236</t>
  </si>
  <si>
    <t>Binder Clips Joyko 105 BM/Gross</t>
  </si>
  <si>
    <t>BM-1000345</t>
  </si>
  <si>
    <t>BM-1000346</t>
  </si>
  <si>
    <t>BM-1000347</t>
  </si>
  <si>
    <t>BM-1000348</t>
  </si>
  <si>
    <t>BM-1000349</t>
  </si>
  <si>
    <t>BM-1000350</t>
  </si>
  <si>
    <t>ID-1000237</t>
  </si>
  <si>
    <t>ID-1000238</t>
  </si>
  <si>
    <t>Penghapus Kenko ERW-40SQ</t>
  </si>
  <si>
    <t>BM-1000351</t>
  </si>
  <si>
    <t>BM-1000352</t>
  </si>
  <si>
    <t>ID-1000239</t>
  </si>
  <si>
    <t>Sticky Note Hopax Neon 21613 Paper Index</t>
  </si>
  <si>
    <t>ID-1000240</t>
  </si>
  <si>
    <t>Pulpen Standard JR6 0.5 gelpen</t>
  </si>
  <si>
    <t>ID-1000241</t>
  </si>
  <si>
    <t>Lakban Bening Sanpack 48 x 100 M</t>
  </si>
  <si>
    <t>BM-1000353</t>
  </si>
  <si>
    <t>BM-1000354</t>
  </si>
  <si>
    <t>BM-1000355</t>
  </si>
  <si>
    <t>BM-1000356</t>
  </si>
  <si>
    <t>BM-1000357</t>
  </si>
  <si>
    <t>BM-1000358</t>
  </si>
  <si>
    <t>BM-1000359</t>
  </si>
  <si>
    <t>BM-1000360</t>
  </si>
  <si>
    <t>BM-1000361</t>
  </si>
  <si>
    <t>BK-1000063</t>
  </si>
  <si>
    <t>BK-1000064</t>
  </si>
  <si>
    <t>BK-1000065</t>
  </si>
  <si>
    <t>BK-1000066</t>
  </si>
  <si>
    <t>BK-1000067</t>
  </si>
  <si>
    <t>BK-1000068</t>
  </si>
  <si>
    <t>BK-1000069</t>
  </si>
  <si>
    <t>BK-1000070</t>
  </si>
  <si>
    <t>BK-1000071</t>
  </si>
  <si>
    <t>BK-1000072</t>
  </si>
  <si>
    <t>BK-1000073</t>
  </si>
  <si>
    <t>BK-1000074</t>
  </si>
  <si>
    <t>BK-1000075</t>
  </si>
  <si>
    <t>BK-1000076</t>
  </si>
  <si>
    <t>BK-1000077</t>
  </si>
  <si>
    <t>Tanda Tangan</t>
  </si>
  <si>
    <t>Imaniar Dwi Aryanti,.S.TP</t>
  </si>
  <si>
    <t>BM-1000363</t>
  </si>
  <si>
    <t>BM-1000364</t>
  </si>
  <si>
    <t>BM-1000365</t>
  </si>
  <si>
    <t>BM-1000366</t>
  </si>
  <si>
    <t>BM-1000367</t>
  </si>
  <si>
    <t>BK-1000084</t>
  </si>
  <si>
    <t>BM-1000368</t>
  </si>
  <si>
    <t>ID-1000242</t>
  </si>
  <si>
    <t>Isi Staples Kenko No. 10</t>
  </si>
  <si>
    <t>ID-1000243</t>
  </si>
  <si>
    <t>Pulpen Snowman Cair</t>
  </si>
  <si>
    <t>BM-1000369</t>
  </si>
  <si>
    <t>BM-1000370</t>
  </si>
  <si>
    <t>BM-1000371</t>
  </si>
  <si>
    <t>BK-1000085</t>
  </si>
  <si>
    <t>BK-1000086</t>
  </si>
  <si>
    <t>BK-1000087</t>
  </si>
  <si>
    <t>BK-1000088</t>
  </si>
  <si>
    <t>BM-1000372</t>
  </si>
  <si>
    <t>BM-1000373</t>
  </si>
  <si>
    <t>BM-1000374</t>
  </si>
  <si>
    <t>BM-1000375</t>
  </si>
  <si>
    <t>BM-1000376</t>
  </si>
  <si>
    <t>BM-1000377</t>
  </si>
  <si>
    <t>BM-1000378</t>
  </si>
  <si>
    <t>BM-1000379</t>
  </si>
  <si>
    <t>BK-1000089</t>
  </si>
  <si>
    <t>BK-1000090</t>
  </si>
  <si>
    <t>BK-1000091</t>
  </si>
  <si>
    <t>BK-1000092</t>
  </si>
  <si>
    <t>BK-1000093</t>
  </si>
  <si>
    <t>BK-1000094</t>
  </si>
  <si>
    <t>BK-1000095</t>
  </si>
  <si>
    <t>BK-1000096</t>
  </si>
  <si>
    <t>ID-1000244</t>
  </si>
  <si>
    <t>Kertas Sertifikat/Kinstruk</t>
  </si>
  <si>
    <t>BM-1000380</t>
  </si>
  <si>
    <t>BK-1000098</t>
  </si>
  <si>
    <t>BM-1000381</t>
  </si>
  <si>
    <t>BK-1000099</t>
  </si>
  <si>
    <t>BM-1000382</t>
  </si>
  <si>
    <t>BK-1000100</t>
  </si>
  <si>
    <t>BM-1000383</t>
  </si>
  <si>
    <t>BK-1000101</t>
  </si>
  <si>
    <t>BK-1000102</t>
  </si>
  <si>
    <t>BK-1000103</t>
  </si>
  <si>
    <t>BM-1000385</t>
  </si>
  <si>
    <t>BM-1000384</t>
  </si>
  <si>
    <t>ID-1000245</t>
  </si>
  <si>
    <t>Kertas A3 Sinar Dunia</t>
  </si>
  <si>
    <t>BM-1000386</t>
  </si>
  <si>
    <t>BM-1000387</t>
  </si>
  <si>
    <t>BM-1000388</t>
  </si>
  <si>
    <t>BM-1000389</t>
  </si>
  <si>
    <t>BM-1000390</t>
  </si>
  <si>
    <t>BM-1000391</t>
  </si>
  <si>
    <t>BM-1000392</t>
  </si>
  <si>
    <t>BK-1000104</t>
  </si>
  <si>
    <t>BK-1000105</t>
  </si>
  <si>
    <t>BM-1000393</t>
  </si>
  <si>
    <t>BK-1000106</t>
  </si>
  <si>
    <t>BK-1000107</t>
  </si>
  <si>
    <t>BK-1000108</t>
  </si>
  <si>
    <t>BK-1000109</t>
  </si>
  <si>
    <t>BK-1000110</t>
  </si>
  <si>
    <t>BK-1000111</t>
  </si>
  <si>
    <t>BK-1000112</t>
  </si>
  <si>
    <t>BK-1000113</t>
  </si>
  <si>
    <t>BK-1000114</t>
  </si>
  <si>
    <t>BK-1000115</t>
  </si>
  <si>
    <t>BK-1000116</t>
  </si>
  <si>
    <t>BK-1000117</t>
  </si>
  <si>
    <t>BK-1000118</t>
  </si>
  <si>
    <t>BK-1000119</t>
  </si>
  <si>
    <t>BK-1000120</t>
  </si>
  <si>
    <t>BK-1000121</t>
  </si>
  <si>
    <t>BK-1000122</t>
  </si>
  <si>
    <t>BK-1000123</t>
  </si>
  <si>
    <t>BK-1000124</t>
  </si>
  <si>
    <t>BK-1000125</t>
  </si>
  <si>
    <t>BK-1000126</t>
  </si>
  <si>
    <t>BK-1000127</t>
  </si>
  <si>
    <t>BK-1000128</t>
  </si>
  <si>
    <t>BK-1000129</t>
  </si>
  <si>
    <t>BK-1000130</t>
  </si>
  <si>
    <t>BK-1000131</t>
  </si>
  <si>
    <t>BK-1000132</t>
  </si>
  <si>
    <t>BK-1000133</t>
  </si>
  <si>
    <t>BK-1000134</t>
  </si>
  <si>
    <t>BK-1000135</t>
  </si>
  <si>
    <t>Rautan Kenko SP-80R</t>
  </si>
  <si>
    <t>BK-1000136</t>
  </si>
  <si>
    <t>BK-1000137</t>
  </si>
  <si>
    <t>BK-1000138</t>
  </si>
  <si>
    <t>BK-1000139</t>
  </si>
  <si>
    <t>BM-1000397</t>
  </si>
  <si>
    <t>BM-1000398</t>
  </si>
  <si>
    <t>BM-1000399</t>
  </si>
  <si>
    <t>BM-1000400</t>
  </si>
  <si>
    <t>ID-1000246</t>
  </si>
  <si>
    <t>Mouse Wireless Logitech</t>
  </si>
  <si>
    <t>BM-1000401</t>
  </si>
  <si>
    <t>BK-1000140</t>
  </si>
  <si>
    <t>BK-1000141</t>
  </si>
  <si>
    <t>BK-1000142</t>
  </si>
  <si>
    <t>BK-1000143</t>
  </si>
  <si>
    <t>BK-1000144</t>
  </si>
  <si>
    <t>BK-1000145</t>
  </si>
  <si>
    <t>BK-1000146</t>
  </si>
  <si>
    <t>BK-1000147</t>
  </si>
  <si>
    <t>BK-1000148</t>
  </si>
  <si>
    <t>BK-1000149</t>
  </si>
  <si>
    <t>BK-1000150</t>
  </si>
  <si>
    <t>BK-1000151</t>
  </si>
  <si>
    <t>BK-1000152</t>
  </si>
  <si>
    <t>BK-1000153</t>
  </si>
  <si>
    <t>BK-1000154</t>
  </si>
  <si>
    <t>ID-1000247</t>
  </si>
  <si>
    <t>Lakban Daimaru 36 x 12</t>
  </si>
  <si>
    <t>ID-1000248</t>
  </si>
  <si>
    <t>Stapler Joyko HD-10D</t>
  </si>
  <si>
    <t>ID-1000249</t>
  </si>
  <si>
    <t>Bantex Index Tabs</t>
  </si>
  <si>
    <t>ID-1000250</t>
  </si>
  <si>
    <t>Lakban Alligator</t>
  </si>
  <si>
    <t>ID-1000251</t>
  </si>
  <si>
    <t>Block Note Micro</t>
  </si>
  <si>
    <t>BM-1000402</t>
  </si>
  <si>
    <t>BM-1000403</t>
  </si>
  <si>
    <t>BM-1000404</t>
  </si>
  <si>
    <t>BM-1000405</t>
  </si>
  <si>
    <t>BM-1000406</t>
  </si>
  <si>
    <t>BM-1000407</t>
  </si>
  <si>
    <t>BM-1000408</t>
  </si>
  <si>
    <t>BM-1000409</t>
  </si>
  <si>
    <t>BM-1000410</t>
  </si>
  <si>
    <t>BM-1000411</t>
  </si>
  <si>
    <t>BM-1000412</t>
  </si>
  <si>
    <t>BM-1000413</t>
  </si>
  <si>
    <t>BM-1000414</t>
  </si>
  <si>
    <t>BM-1000415</t>
  </si>
  <si>
    <t>BK-1000155</t>
  </si>
  <si>
    <t>BK-1000156</t>
  </si>
  <si>
    <t>BK-1000157</t>
  </si>
  <si>
    <t>BK-1000158</t>
  </si>
  <si>
    <t>BK-1000159</t>
  </si>
  <si>
    <t>BK-1000160</t>
  </si>
  <si>
    <t>BK-1000161</t>
  </si>
  <si>
    <t>BK-1000162</t>
  </si>
  <si>
    <t>BM-1000416</t>
  </si>
  <si>
    <t>BK-1000163</t>
  </si>
  <si>
    <t>BK-1000164</t>
  </si>
  <si>
    <t>BK-1000165</t>
  </si>
  <si>
    <t>Selpi</t>
  </si>
  <si>
    <t>CLEANING SERVICES</t>
  </si>
  <si>
    <t>BM-1000417</t>
  </si>
  <si>
    <t>ID-1000252</t>
  </si>
  <si>
    <t>Tinta Epson T7741 black</t>
  </si>
  <si>
    <t>BM-1000418</t>
  </si>
  <si>
    <t>BM-1000419</t>
  </si>
  <si>
    <t>BM-1000420</t>
  </si>
  <si>
    <t>BM-1000421</t>
  </si>
  <si>
    <t>BM-1000422</t>
  </si>
  <si>
    <t>BM-1000423</t>
  </si>
  <si>
    <t>BM-1000424</t>
  </si>
  <si>
    <t>BM-1000425</t>
  </si>
  <si>
    <t>BM-1000426</t>
  </si>
  <si>
    <t>BM-1000427</t>
  </si>
  <si>
    <t>BK-1000166</t>
  </si>
  <si>
    <t>BK-1000167</t>
  </si>
  <si>
    <t>BK-1000168</t>
  </si>
  <si>
    <t>BK-1000169</t>
  </si>
  <si>
    <t>BK-1000170</t>
  </si>
  <si>
    <t>BK-1000171</t>
  </si>
  <si>
    <t>BK-1000172</t>
  </si>
  <si>
    <t>BK-1000173</t>
  </si>
  <si>
    <t>BK-1000174</t>
  </si>
  <si>
    <t>BK-1000175</t>
  </si>
  <si>
    <t>BK-1000176</t>
  </si>
  <si>
    <t>BK-1000177</t>
  </si>
  <si>
    <t>BK-1000178</t>
  </si>
  <si>
    <t>BK-1000179</t>
  </si>
  <si>
    <t>BM-1000428</t>
  </si>
  <si>
    <t>BM-1000429</t>
  </si>
  <si>
    <t>BK-1000180</t>
  </si>
  <si>
    <t>BK-1000181</t>
  </si>
  <si>
    <t>BK-1000182</t>
  </si>
  <si>
    <t>BK-1000183</t>
  </si>
  <si>
    <t>BK-1000184</t>
  </si>
  <si>
    <t>BK-1000185</t>
  </si>
  <si>
    <t>BK-1000186</t>
  </si>
  <si>
    <t>BK-1000187</t>
  </si>
  <si>
    <t>BK-1000188</t>
  </si>
  <si>
    <t>BK-1000189</t>
  </si>
  <si>
    <t>St. Syamriani, S.Kom</t>
  </si>
  <si>
    <t>BK-1000190</t>
  </si>
  <si>
    <t>BK-1000191</t>
  </si>
  <si>
    <t>BK-1000192</t>
  </si>
  <si>
    <t>BK-1000193</t>
  </si>
  <si>
    <t>BK-1000194</t>
  </si>
  <si>
    <t>BK-1000195</t>
  </si>
  <si>
    <t>BK-1000196</t>
  </si>
  <si>
    <t>BK-1000197</t>
  </si>
  <si>
    <t>BK-1000198</t>
  </si>
  <si>
    <t>BK-1000199</t>
  </si>
  <si>
    <t>BK-1000200</t>
  </si>
  <si>
    <t>BK-1000201</t>
  </si>
  <si>
    <t>BK-1000202</t>
  </si>
  <si>
    <t>BK-1000203</t>
  </si>
  <si>
    <t>BK-1000204</t>
  </si>
  <si>
    <t>BM-1000430</t>
  </si>
  <si>
    <t>BK-1000205</t>
  </si>
  <si>
    <t>BK-1000206</t>
  </si>
  <si>
    <t>BK-1000207</t>
  </si>
  <si>
    <t>BK-1000208</t>
  </si>
  <si>
    <t>BK-1000209</t>
  </si>
  <si>
    <t>BK-1000210</t>
  </si>
  <si>
    <t>BK-1000211</t>
  </si>
  <si>
    <t>BK-1000212</t>
  </si>
  <si>
    <t>BK-1000213</t>
  </si>
  <si>
    <t>BK-1000214</t>
  </si>
  <si>
    <t>BK-1000215</t>
  </si>
  <si>
    <t>BM-1000431</t>
  </si>
  <si>
    <t>BK-1000216</t>
  </si>
  <si>
    <t>BK-1000217</t>
  </si>
  <si>
    <t>BK-1000218</t>
  </si>
  <si>
    <t>BK-1000219</t>
  </si>
  <si>
    <t>BK-1000220</t>
  </si>
  <si>
    <t>BK-1000221</t>
  </si>
  <si>
    <t>BK-1000222</t>
  </si>
  <si>
    <t>BK-1000223</t>
  </si>
  <si>
    <t>Mustakim</t>
  </si>
  <si>
    <t>BK-1000224</t>
  </si>
  <si>
    <t>BK-1000225</t>
  </si>
  <si>
    <t>BK-1000226</t>
  </si>
  <si>
    <t>BK-1000227</t>
  </si>
  <si>
    <t>BK-1000228</t>
  </si>
  <si>
    <t>BK-1000229</t>
  </si>
  <si>
    <t>BK-1000230</t>
  </si>
  <si>
    <t>BK-1000231</t>
  </si>
  <si>
    <t>BM-1000432</t>
  </si>
  <si>
    <t>BM-1000433</t>
  </si>
  <si>
    <t>BM-1000434</t>
  </si>
  <si>
    <t>BM-1000435</t>
  </si>
  <si>
    <t>BM-1000436</t>
  </si>
  <si>
    <t>BM-1000437</t>
  </si>
  <si>
    <t>BM-1000438</t>
  </si>
  <si>
    <t>BM-1000439</t>
  </si>
  <si>
    <t>BM-1000440</t>
  </si>
  <si>
    <t>BM-1000441</t>
  </si>
  <si>
    <t>BM-1000442</t>
  </si>
  <si>
    <t>BM-1000443</t>
  </si>
  <si>
    <t>BM-1000444</t>
  </si>
  <si>
    <t>BM-1000445</t>
  </si>
  <si>
    <t>BM-1000446</t>
  </si>
  <si>
    <t>BM-1000447</t>
  </si>
  <si>
    <t>BM-1000448</t>
  </si>
  <si>
    <t>BM-1000449</t>
  </si>
  <si>
    <t>BM-1000450</t>
  </si>
  <si>
    <t>BM-1000451</t>
  </si>
  <si>
    <t>BM-1000452</t>
  </si>
  <si>
    <t>BK-1000232</t>
  </si>
  <si>
    <t>BK-1000234</t>
  </si>
  <si>
    <t>BK-1000235</t>
  </si>
  <si>
    <t>BK-1000236</t>
  </si>
  <si>
    <t>BK-1000237</t>
  </si>
  <si>
    <t>BK-1000238</t>
  </si>
  <si>
    <t>BK-1000239</t>
  </si>
  <si>
    <t>BK-1000240</t>
  </si>
  <si>
    <t>BK-1000241</t>
  </si>
  <si>
    <t>BK-1000242</t>
  </si>
  <si>
    <t>BK-1000243</t>
  </si>
  <si>
    <t>BK-1000244</t>
  </si>
  <si>
    <t>BK-1000245</t>
  </si>
  <si>
    <t>BK-1000246</t>
  </si>
  <si>
    <t>BM-1000453</t>
  </si>
  <si>
    <t>ID-1000253</t>
  </si>
  <si>
    <t>ID Card</t>
  </si>
  <si>
    <t>Bahan Cetak Lainnya</t>
  </si>
  <si>
    <t>BM-1000454</t>
  </si>
  <si>
    <t>BM-1000455</t>
  </si>
  <si>
    <t>BM-1000456</t>
  </si>
  <si>
    <t>BK-1000248</t>
  </si>
  <si>
    <t>BK-1000249</t>
  </si>
  <si>
    <t>BK-1000250</t>
  </si>
  <si>
    <t>BK-1000251</t>
  </si>
  <si>
    <t>BK-1000252</t>
  </si>
  <si>
    <t>BK-1000253</t>
  </si>
  <si>
    <t>BK-1000254</t>
  </si>
  <si>
    <t>BK-1000255</t>
  </si>
  <si>
    <t>BK-1000256</t>
  </si>
  <si>
    <t>BK-1000257</t>
  </si>
  <si>
    <t>BK-1000258</t>
  </si>
  <si>
    <t>BK-1000259</t>
  </si>
  <si>
    <t>BK-1000260</t>
  </si>
  <si>
    <t>BM-1000457</t>
  </si>
  <si>
    <t>BM-1000458</t>
  </si>
  <si>
    <t>BM-1000459</t>
  </si>
  <si>
    <t>BM-1000460</t>
  </si>
  <si>
    <t>BM-1000461</t>
  </si>
  <si>
    <t>BM-1000462</t>
  </si>
  <si>
    <t>BM-1000463</t>
  </si>
  <si>
    <t>ID-1000254</t>
  </si>
  <si>
    <t>ID Card + Tali 10 HJ</t>
  </si>
  <si>
    <t>ID-1000255</t>
  </si>
  <si>
    <t>ID Card + Tali 100</t>
  </si>
  <si>
    <t>BM-1000464</t>
  </si>
  <si>
    <t>BM-1000465</t>
  </si>
  <si>
    <t>BM-1000466</t>
  </si>
  <si>
    <t>BM-1000467</t>
  </si>
  <si>
    <t>BM-1000468</t>
  </si>
  <si>
    <t>ID-1000256</t>
  </si>
  <si>
    <t>Akrilik Tent Holder A5</t>
  </si>
  <si>
    <t>BM-1000469</t>
  </si>
  <si>
    <t>ID-1000257</t>
  </si>
  <si>
    <t>Lakban Bening San[ack 48 x 80</t>
  </si>
  <si>
    <t>BM-1000470</t>
  </si>
  <si>
    <t>ID-1000258</t>
  </si>
  <si>
    <t>Lakban Daimaru 2 Inci Bening</t>
  </si>
  <si>
    <t>BM-1000471</t>
  </si>
  <si>
    <t>ID-1000259</t>
  </si>
  <si>
    <t>Lakban Sanpack 48 mm x 10 m</t>
  </si>
  <si>
    <t>Double Tip Foam Putih</t>
  </si>
  <si>
    <t>ID-1000260</t>
  </si>
  <si>
    <t>Double Tip Foam SMP</t>
  </si>
  <si>
    <t>ID-1000261</t>
  </si>
  <si>
    <t>Cutter Alligator</t>
  </si>
  <si>
    <t>ID-1000262</t>
  </si>
  <si>
    <t>Cutter Kenko</t>
  </si>
  <si>
    <t>ID-1000263</t>
  </si>
  <si>
    <t>Kenko L-150 Pisau Ctr</t>
  </si>
  <si>
    <t>ID-1000264</t>
  </si>
  <si>
    <t>Rocket Rthb30 Tas Box Lbr</t>
  </si>
  <si>
    <t>ID-1000265</t>
  </si>
  <si>
    <t>Boom Tas Box Bthb30 65Gr Lbr</t>
  </si>
  <si>
    <t>Kenko No.1@10Paper Clip Bm</t>
  </si>
  <si>
    <t>Kenko No.5 Jmb@10P.Clips Bm</t>
  </si>
  <si>
    <t>ID-1000266</t>
  </si>
  <si>
    <t>Kenko Binder Clips 105 Bm</t>
  </si>
  <si>
    <t>Sticky Note M&amp;G AS</t>
  </si>
  <si>
    <t>Sticky Note M&amp;G STICKY NOTES YS</t>
  </si>
  <si>
    <t>ID-1000267</t>
  </si>
  <si>
    <t>Sticky Notes Neon 4Clr Pst</t>
  </si>
  <si>
    <t>ID-1000268</t>
  </si>
  <si>
    <t>M&amp;G S.Note As33U175/Yd-461 Org Wgt</t>
  </si>
  <si>
    <t>ID-1000269</t>
  </si>
  <si>
    <t>M&amp;G Sticky Note As33U177/Yd-463 Wgt/</t>
  </si>
  <si>
    <t>ID-1000270</t>
  </si>
  <si>
    <t>M&amp;G Ys-459 25Sx7C Stick As32U774 Wgt</t>
  </si>
  <si>
    <t>ID-1000271</t>
  </si>
  <si>
    <t>Joyko 10-1M @20 Staples Bm</t>
  </si>
  <si>
    <t>ID-1000272</t>
  </si>
  <si>
    <t>Standard Anygel 0.38 Btv/</t>
  </si>
  <si>
    <t>ID-1000273</t>
  </si>
  <si>
    <t>Standard Tecnogel 0,5Pen Btv</t>
  </si>
  <si>
    <t>ID-1000274</t>
  </si>
  <si>
    <t>Greebel Viero Gel Pen Gp-504 Bdk</t>
  </si>
  <si>
    <t>ID-1000275</t>
  </si>
  <si>
    <t>Kenko 100Cm Mstr Besi Bm</t>
  </si>
  <si>
    <t>Penggaris</t>
  </si>
  <si>
    <t>ID-1000276</t>
  </si>
  <si>
    <t>Montana Mistar Besi 30Cm/Rt-30S Mad</t>
  </si>
  <si>
    <t>ID-1000277</t>
  </si>
  <si>
    <t>Joyko P-88 Prime 2B Pensil Bm</t>
  </si>
  <si>
    <t>ID-1000278</t>
  </si>
  <si>
    <t>M&amp;G Sticky Notes Ys-183 Wgt/Bks</t>
  </si>
  <si>
    <t>BM-1000472</t>
  </si>
  <si>
    <t>BM-1000473</t>
  </si>
  <si>
    <t>BM-1000474</t>
  </si>
  <si>
    <t>BM-1000475</t>
  </si>
  <si>
    <t>BM-1000476</t>
  </si>
  <si>
    <t>BM-1000477</t>
  </si>
  <si>
    <t>BM-1000478</t>
  </si>
  <si>
    <t>BM-1000479</t>
  </si>
  <si>
    <t>BM-1000480</t>
  </si>
  <si>
    <t>BM-1000481</t>
  </si>
  <si>
    <t>BM-1000482</t>
  </si>
  <si>
    <t>BM-1000483</t>
  </si>
  <si>
    <t>BM-1000484</t>
  </si>
  <si>
    <t>BM-1000485</t>
  </si>
  <si>
    <t>BM-1000486</t>
  </si>
  <si>
    <t>BM-1000487</t>
  </si>
  <si>
    <t>BM-1000488</t>
  </si>
  <si>
    <t>BM-1000489</t>
  </si>
  <si>
    <t>BM-1000490</t>
  </si>
  <si>
    <t>BM-1000491</t>
  </si>
  <si>
    <t>BM-1000492</t>
  </si>
  <si>
    <t>BM-1000493</t>
  </si>
  <si>
    <t>BM-1000494</t>
  </si>
  <si>
    <t>BM-1000495</t>
  </si>
  <si>
    <t>BM-1000496</t>
  </si>
  <si>
    <t>BM-1000497</t>
  </si>
  <si>
    <t>BM-1000498</t>
  </si>
  <si>
    <t>BM-1000499</t>
  </si>
  <si>
    <t>BM-1000500</t>
  </si>
  <si>
    <t>BM-1000501</t>
  </si>
  <si>
    <t>BM-1000502</t>
  </si>
  <si>
    <t>BM-1000503</t>
  </si>
  <si>
    <t>BM-1000504</t>
  </si>
  <si>
    <t>BM-1000505</t>
  </si>
  <si>
    <t>BM-1000506</t>
  </si>
  <si>
    <t>BM-1000507</t>
  </si>
  <si>
    <t>BM-1000508</t>
  </si>
  <si>
    <t>BM-1000509</t>
  </si>
  <si>
    <t>BM-1000510</t>
  </si>
  <si>
    <t>BM-1000511</t>
  </si>
  <si>
    <t>BM-1000512</t>
  </si>
  <si>
    <t>BM-1000513</t>
  </si>
  <si>
    <t>ID-1000279</t>
  </si>
  <si>
    <t>Wireless Presenter Logitech R500s (Graphite)</t>
  </si>
  <si>
    <t>ID-1000280</t>
  </si>
  <si>
    <t>Converter NYK Type C To HDMI</t>
  </si>
  <si>
    <t>ID-1000281</t>
  </si>
  <si>
    <t>Speaker Fantech GS305 Black</t>
  </si>
  <si>
    <t>ID-1000282</t>
  </si>
  <si>
    <t>Keyboard + Mouse Logitech MK220 Wireless</t>
  </si>
  <si>
    <t>Set</t>
  </si>
  <si>
    <t>ID-1000283</t>
  </si>
  <si>
    <t>Flash Disk Sandisk Dual Drive Go 128GB (OTG USB) Type C</t>
  </si>
  <si>
    <t>USB/Flash Disk</t>
  </si>
  <si>
    <t>ID-1000284</t>
  </si>
  <si>
    <t>Tenda AX300 Wi-Fi 6 High Gain Wireless USB Adapter (U2)</t>
  </si>
  <si>
    <t>ID-1000285</t>
  </si>
  <si>
    <t>Cooler Pad Notebook Fantech NC11</t>
  </si>
  <si>
    <t>ID-1000286</t>
  </si>
  <si>
    <t>Keyboard Logitech Classic K120</t>
  </si>
  <si>
    <t>ID-1000287</t>
  </si>
  <si>
    <t>Keyboard + Mouse Logitech MK120</t>
  </si>
  <si>
    <t>ID-1000288</t>
  </si>
  <si>
    <t>Mouse Logitech USB M90 (Dark Gray)</t>
  </si>
  <si>
    <t>ID-1000289</t>
  </si>
  <si>
    <t>Headset Logitech H-150 Blue</t>
  </si>
  <si>
    <t>ID-1000290</t>
  </si>
  <si>
    <t>Headset Logitech H-150 White</t>
  </si>
  <si>
    <t>ID-1000291</t>
  </si>
  <si>
    <t>Headset Rexus Bluetooth BT7 Beige</t>
  </si>
  <si>
    <t>ID-1000292</t>
  </si>
  <si>
    <t>Ugreen Bluetooth 5.3 Adapter</t>
  </si>
  <si>
    <t>ID-1000293</t>
  </si>
  <si>
    <t>Flash Disk Sandisk Phone Drive USB 3.2 Type C – 256GB (Yellow)</t>
  </si>
  <si>
    <t>ID-1000294</t>
  </si>
  <si>
    <t>Flash Disk Sandisk Phone Drive USB 3.2 Type C – 256GB</t>
  </si>
  <si>
    <t>ID-1000295</t>
  </si>
  <si>
    <t>Flash Disk Sandisk Phone Drive USB 3.2 Type C – 256GB (Orange)</t>
  </si>
  <si>
    <t>ID-1000296</t>
  </si>
  <si>
    <t>Speaker Fantech GS203 Black</t>
  </si>
  <si>
    <t>ID-1000297</t>
  </si>
  <si>
    <t>Speaker Fantech GS203 White</t>
  </si>
  <si>
    <t>*Logitech S150 USB Stereo Speakers*</t>
  </si>
  <si>
    <t>ID-1000298</t>
  </si>
  <si>
    <t>Logitech S150 USB Stereo Speakers</t>
  </si>
  <si>
    <t>BM-1000514</t>
  </si>
  <si>
    <t>BM-1000515</t>
  </si>
  <si>
    <t>BM-1000516</t>
  </si>
  <si>
    <t>BM-1000517</t>
  </si>
  <si>
    <t>BM-1000518</t>
  </si>
  <si>
    <t>BM-1000519</t>
  </si>
  <si>
    <t>BM-1000520</t>
  </si>
  <si>
    <t>BM-1000521</t>
  </si>
  <si>
    <t>BM-1000522</t>
  </si>
  <si>
    <t>BM-1000523</t>
  </si>
  <si>
    <t>BM-1000524</t>
  </si>
  <si>
    <t>BM-1000525</t>
  </si>
  <si>
    <t>BM-1000526</t>
  </si>
  <si>
    <t>BM-1000527</t>
  </si>
  <si>
    <t>BM-1000528</t>
  </si>
  <si>
    <t>BM-1000529</t>
  </si>
  <si>
    <t>BM-1000530</t>
  </si>
  <si>
    <t>BM-1000531</t>
  </si>
  <si>
    <t>BM-1000532</t>
  </si>
  <si>
    <t>BM-1000533</t>
  </si>
  <si>
    <t>BM-1000534</t>
  </si>
  <si>
    <t>BM-1000535</t>
  </si>
  <si>
    <t>BM-1000536</t>
  </si>
  <si>
    <t>BM-1000537</t>
  </si>
  <si>
    <t>BM-1000538</t>
  </si>
  <si>
    <t>BM-1000539</t>
  </si>
  <si>
    <t>BM-1000540</t>
  </si>
  <si>
    <t>BM-1000541</t>
  </si>
  <si>
    <t>BK-1000277</t>
  </si>
  <si>
    <t>BK-1000281</t>
  </si>
  <si>
    <t>BK-1000282</t>
  </si>
  <si>
    <t>BK-1000283</t>
  </si>
  <si>
    <t>BK-1000284</t>
  </si>
  <si>
    <t>BK-1000285</t>
  </si>
  <si>
    <t>BK-1000286</t>
  </si>
  <si>
    <t>BK-1000287</t>
  </si>
  <si>
    <t>BK-1000288</t>
  </si>
  <si>
    <t>BK-1000289</t>
  </si>
  <si>
    <t>BK-1000290</t>
  </si>
  <si>
    <t>BK-1000291</t>
  </si>
  <si>
    <t>BK-1000292</t>
  </si>
  <si>
    <t>BK-1000293</t>
  </si>
  <si>
    <t>BK-1000294</t>
  </si>
  <si>
    <t>BK-1000295</t>
  </si>
  <si>
    <t>BK-1000296</t>
  </si>
  <si>
    <t>BK-1000297</t>
  </si>
  <si>
    <t>BK-1000298</t>
  </si>
  <si>
    <t>BK-1000299</t>
  </si>
  <si>
    <t>BK-1000300</t>
  </si>
  <si>
    <t>BK-1000301</t>
  </si>
  <si>
    <t>BK-1000302</t>
  </si>
  <si>
    <t>ID-1000299</t>
  </si>
  <si>
    <t>Microphone Wireless JETE MX1</t>
  </si>
  <si>
    <t>BM-1000542</t>
  </si>
  <si>
    <t>BK-1000303</t>
  </si>
  <si>
    <t>BK-1000304</t>
  </si>
  <si>
    <t>BK-1000312</t>
  </si>
  <si>
    <t>BM-1000543</t>
  </si>
  <si>
    <t>ID-1000300</t>
  </si>
  <si>
    <t>Gunting Joyko</t>
  </si>
  <si>
    <t>BM-1000544</t>
  </si>
  <si>
    <t>BM-1000545</t>
  </si>
  <si>
    <t>BM-1000546</t>
  </si>
  <si>
    <t>BM-1000547</t>
  </si>
  <si>
    <t>BM-1000548</t>
  </si>
  <si>
    <t>BM-1000549</t>
  </si>
  <si>
    <t>BM-1000550</t>
  </si>
  <si>
    <t>BM-1000551</t>
  </si>
  <si>
    <t>BM-1000552</t>
  </si>
  <si>
    <t>BM-1000553</t>
  </si>
  <si>
    <t>BM-1000554</t>
  </si>
  <si>
    <t>BM-1000555</t>
  </si>
  <si>
    <t>BM-1000556</t>
  </si>
  <si>
    <t>ID-1000301</t>
  </si>
  <si>
    <t>UHU Lem Stick</t>
  </si>
  <si>
    <t>BM-1000557</t>
  </si>
  <si>
    <t>BM-1000558</t>
  </si>
  <si>
    <t>BM-1000559</t>
  </si>
  <si>
    <t>BM-1000560</t>
  </si>
  <si>
    <t>BM-1000561</t>
  </si>
  <si>
    <t>BM-1000562</t>
  </si>
  <si>
    <t>BM-1000563</t>
  </si>
  <si>
    <t>BM-1000564</t>
  </si>
  <si>
    <t>BM-1000565</t>
  </si>
  <si>
    <t>BM-1000566</t>
  </si>
  <si>
    <t>BM-1000567</t>
  </si>
  <si>
    <t>BM-1000568</t>
  </si>
  <si>
    <t>BM-1000569</t>
  </si>
  <si>
    <t>ID-1000302</t>
  </si>
  <si>
    <t>BM-1000570</t>
  </si>
  <si>
    <t>BK-1000313</t>
  </si>
  <si>
    <t>BK-1000314</t>
  </si>
  <si>
    <t>BK-1000315</t>
  </si>
  <si>
    <t>BK-1000316</t>
  </si>
  <si>
    <t>BK-1000317</t>
  </si>
  <si>
    <t>BK-1000318</t>
  </si>
  <si>
    <t>BK-1000319</t>
  </si>
  <si>
    <t>BK-1000320</t>
  </si>
  <si>
    <t>BK-1000321</t>
  </si>
  <si>
    <t>BK-1000322</t>
  </si>
  <si>
    <t>BK-1000323</t>
  </si>
  <si>
    <t>BK-1000324</t>
  </si>
  <si>
    <t>BK-1000325</t>
  </si>
  <si>
    <t>BK-1000326</t>
  </si>
  <si>
    <t>BK-1000327</t>
  </si>
  <si>
    <t>BK-1000328</t>
  </si>
  <si>
    <t>BK-1000329</t>
  </si>
  <si>
    <t>BK-1000330</t>
  </si>
  <si>
    <t>BK-1000331</t>
  </si>
  <si>
    <t>BK-1000332</t>
  </si>
  <si>
    <t>BK-1000333</t>
  </si>
  <si>
    <t>ID-1000303</t>
  </si>
  <si>
    <t>Cutter Joyko</t>
  </si>
  <si>
    <t>BM-1000571</t>
  </si>
  <si>
    <t>BK-1000334</t>
  </si>
  <si>
    <t>BK-1000335</t>
  </si>
  <si>
    <t>BK-1000336</t>
  </si>
  <si>
    <t>BK-1000337</t>
  </si>
  <si>
    <t>BK-1000338</t>
  </si>
  <si>
    <t>BK-1000339</t>
  </si>
  <si>
    <t>BK-1000340</t>
  </si>
  <si>
    <t>BM-1000572</t>
  </si>
  <si>
    <t>BM-1000573</t>
  </si>
  <si>
    <t>ID-1000304</t>
  </si>
  <si>
    <t>Buku Pedoman Sakernas</t>
  </si>
  <si>
    <t>ID-1000305</t>
  </si>
  <si>
    <t>Kuesioner Sakernas</t>
  </si>
  <si>
    <t>BM-1000574</t>
  </si>
  <si>
    <t>BM-1000575</t>
  </si>
  <si>
    <t>BM-1000576</t>
  </si>
  <si>
    <t>BK-1000341</t>
  </si>
  <si>
    <t>BK-1000342</t>
  </si>
  <si>
    <t>BK-1000343</t>
  </si>
  <si>
    <t>BK-1000344</t>
  </si>
  <si>
    <t>BK-1000345</t>
  </si>
  <si>
    <t>BK-1000346</t>
  </si>
  <si>
    <t>BK-1000347</t>
  </si>
  <si>
    <t>BK-1000348</t>
  </si>
  <si>
    <t>BK-1000349</t>
  </si>
  <si>
    <t>BK-1000350</t>
  </si>
  <si>
    <t>BK-1000351</t>
  </si>
  <si>
    <t>BK-1000352</t>
  </si>
  <si>
    <t>BK-1000353</t>
  </si>
  <si>
    <t>BK-1000354</t>
  </si>
  <si>
    <t>BK-1000355</t>
  </si>
  <si>
    <t>BK-1000356</t>
  </si>
  <si>
    <t>BK-1000357</t>
  </si>
  <si>
    <t>BK-1000358</t>
  </si>
  <si>
    <t>BK-1000359</t>
  </si>
  <si>
    <t>BK-1000360</t>
  </si>
  <si>
    <t>BK-1000361</t>
  </si>
  <si>
    <t>BK-1000362</t>
  </si>
  <si>
    <t>BK-1000363</t>
  </si>
  <si>
    <t>BK-1000364</t>
  </si>
  <si>
    <t>BK-1000365</t>
  </si>
  <si>
    <t>BK-1000366</t>
  </si>
  <si>
    <t>BK-1000367</t>
  </si>
  <si>
    <t>BK-1000368</t>
  </si>
  <si>
    <t>BK-1000369</t>
  </si>
  <si>
    <t>BK-1000370</t>
  </si>
  <si>
    <t>BK-1000371</t>
  </si>
  <si>
    <t>BK-1000372</t>
  </si>
  <si>
    <t>BK-1000373</t>
  </si>
  <si>
    <t>BK-1000374</t>
  </si>
  <si>
    <t>BK-1000375</t>
  </si>
  <si>
    <t>BK-1000376</t>
  </si>
  <si>
    <t>BK-1000377</t>
  </si>
  <si>
    <t>BK-1000378</t>
  </si>
  <si>
    <t>BK-1000379</t>
  </si>
  <si>
    <t>BK-1000380</t>
  </si>
  <si>
    <t>BK-1000381</t>
  </si>
  <si>
    <t>BK-1000382</t>
  </si>
  <si>
    <t>BK-1000383</t>
  </si>
  <si>
    <t>BK-1000384</t>
  </si>
  <si>
    <t>BK-1000385</t>
  </si>
  <si>
    <t>BK-1000386</t>
  </si>
  <si>
    <t>BK-1000387</t>
  </si>
  <si>
    <t>BK-1000388</t>
  </si>
  <si>
    <t>BK-1000389</t>
  </si>
  <si>
    <t>BK-1000390</t>
  </si>
  <si>
    <t>BK-1000391</t>
  </si>
  <si>
    <t>BK-1000392</t>
  </si>
  <si>
    <t>BK-1000393</t>
  </si>
  <si>
    <t>*s*</t>
  </si>
  <si>
    <t>Herlina Pujianti S.Tr.Stat</t>
  </si>
  <si>
    <t>BK-1000394</t>
  </si>
  <si>
    <t>BK-1000395</t>
  </si>
  <si>
    <t>ID-1000306</t>
  </si>
  <si>
    <t>Kuesioner SLK</t>
  </si>
  <si>
    <t>ID-1000307</t>
  </si>
  <si>
    <t>Kuesioner BUMD</t>
  </si>
  <si>
    <t>ID-1000308</t>
  </si>
  <si>
    <t>Kuesioner K3</t>
  </si>
  <si>
    <t>BM-1000577</t>
  </si>
  <si>
    <t>BM-1000578</t>
  </si>
  <si>
    <t>BM-1000579</t>
  </si>
  <si>
    <t>BM-1000580</t>
  </si>
  <si>
    <t>ID-1000309</t>
  </si>
  <si>
    <t>Mouse Logitech M170</t>
  </si>
  <si>
    <t>BM-1000581</t>
  </si>
  <si>
    <t>BK-1000396</t>
  </si>
  <si>
    <t>BK-1000397</t>
  </si>
  <si>
    <t>BK-1000398</t>
  </si>
  <si>
    <t>BK-1000399</t>
  </si>
  <si>
    <t>BK-1000400</t>
  </si>
  <si>
    <t>BK-1000401</t>
  </si>
  <si>
    <t>BK-1000402</t>
  </si>
  <si>
    <t>BK-1000403</t>
  </si>
  <si>
    <t>BK-1000404</t>
  </si>
  <si>
    <t>BK-1000405</t>
  </si>
  <si>
    <t>BK-1000406</t>
  </si>
  <si>
    <t>BK-1000407</t>
  </si>
  <si>
    <t>BK-1000408</t>
  </si>
  <si>
    <t>BK-1000409</t>
  </si>
  <si>
    <t>BK-1000410</t>
  </si>
  <si>
    <t>BK-1000411</t>
  </si>
  <si>
    <t>BK-1000412</t>
  </si>
  <si>
    <t>BK-1000413</t>
  </si>
  <si>
    <t>BK-1000414</t>
  </si>
  <si>
    <t>BM-1000582</t>
  </si>
  <si>
    <t>BM-1000583</t>
  </si>
  <si>
    <t>BM-1000584</t>
  </si>
  <si>
    <t>BK-1000415</t>
  </si>
  <si>
    <t>BK-1000416</t>
  </si>
  <si>
    <t>BK-1000417</t>
  </si>
  <si>
    <t>BK-1000418</t>
  </si>
  <si>
    <t>BK-1000419</t>
  </si>
  <si>
    <t>BK-1000420</t>
  </si>
  <si>
    <t>BK-1000421</t>
  </si>
  <si>
    <t>BK-1000422</t>
  </si>
  <si>
    <t>BK-1000423</t>
  </si>
  <si>
    <t>BK-1000424</t>
  </si>
  <si>
    <t>BK-1000425</t>
  </si>
  <si>
    <t>BK-1000426</t>
  </si>
  <si>
    <t>BK-1000427</t>
  </si>
  <si>
    <t>BK-1000428</t>
  </si>
  <si>
    <t>BK-1000429</t>
  </si>
  <si>
    <t>BK-1000430</t>
  </si>
  <si>
    <t>BK-1000431</t>
  </si>
  <si>
    <t>BK-1000432</t>
  </si>
  <si>
    <t>BK-1000433</t>
  </si>
  <si>
    <t>BK-1000434</t>
  </si>
  <si>
    <t>BK-1000435</t>
  </si>
  <si>
    <t>BK-1000436</t>
  </si>
  <si>
    <t>BK-1000437</t>
  </si>
  <si>
    <t>ID-1000310</t>
  </si>
  <si>
    <t>Double Tape</t>
  </si>
  <si>
    <t>BM-1000585</t>
  </si>
  <si>
    <t>BM-1000586</t>
  </si>
  <si>
    <t>ID-1000311</t>
  </si>
  <si>
    <t>BM-1000587</t>
  </si>
  <si>
    <t>Kertas Jilid A3</t>
  </si>
  <si>
    <t>BM-1000588</t>
  </si>
  <si>
    <t>ID-1000313</t>
  </si>
  <si>
    <t>Double Tape Kertas T</t>
  </si>
  <si>
    <t>BM-1000589</t>
  </si>
  <si>
    <t>BM-1000590</t>
  </si>
  <si>
    <t>BM-1000591</t>
  </si>
  <si>
    <t>BM-1000592</t>
  </si>
  <si>
    <t>BM-1000593</t>
  </si>
  <si>
    <t>BM-1000594</t>
  </si>
  <si>
    <t>BM-1000595</t>
  </si>
  <si>
    <t>ID-1000314</t>
  </si>
  <si>
    <t>Kuesioner Seruti TW II (K.Inti)</t>
  </si>
  <si>
    <t>ID-1000315</t>
  </si>
  <si>
    <t>Kuesioner Seruti TW II (K.MAK)</t>
  </si>
  <si>
    <t>BM-1000596</t>
  </si>
  <si>
    <t>BM-1000597</t>
  </si>
  <si>
    <t>BM-1000598</t>
  </si>
  <si>
    <t>BK-1000438</t>
  </si>
  <si>
    <t>BK-1000439</t>
  </si>
  <si>
    <t>BK-1000440</t>
  </si>
  <si>
    <t>BK-1000441</t>
  </si>
  <si>
    <t>BK-1000442</t>
  </si>
  <si>
    <t>BK-1000443</t>
  </si>
  <si>
    <t>BK-1000444</t>
  </si>
  <si>
    <t>BK-1000445</t>
  </si>
  <si>
    <t>BK-1000446</t>
  </si>
  <si>
    <t>BK-1000447</t>
  </si>
  <si>
    <t>BK-1000448</t>
  </si>
  <si>
    <t>BK-1000449</t>
  </si>
  <si>
    <t>BK-1000450</t>
  </si>
  <si>
    <t>BK-1000451</t>
  </si>
  <si>
    <t>BK-1000452</t>
  </si>
  <si>
    <t>BK-1000454</t>
  </si>
  <si>
    <t>BK-1000455</t>
  </si>
  <si>
    <t>BK-1000456</t>
  </si>
  <si>
    <t>BK-1000457</t>
  </si>
  <si>
    <t>BM-1000599</t>
  </si>
  <si>
    <t>BM-1000600</t>
  </si>
  <si>
    <t>BM-1000601</t>
  </si>
  <si>
    <t>ID-1000316</t>
  </si>
  <si>
    <t>Pointer Wireless USB Presenter</t>
  </si>
  <si>
    <t>ID-1000317</t>
  </si>
  <si>
    <t>Wireless Presenter Laser Pointer</t>
  </si>
  <si>
    <t>BM-1000602</t>
  </si>
  <si>
    <t>BM-1000603</t>
  </si>
  <si>
    <t>ID-1000318</t>
  </si>
  <si>
    <t>ALLIGATOR OPP TAPE CLEAR/BROWN 90Y</t>
  </si>
  <si>
    <t>ID-1000319</t>
  </si>
  <si>
    <t>SANPACK 24MM MASKING TAPE SMP/ROL</t>
  </si>
  <si>
    <t>ID-1000320</t>
  </si>
  <si>
    <t>GM MAP BATIK KAIN CVR PLSTK/WBH</t>
  </si>
  <si>
    <t>ID-1000321</t>
  </si>
  <si>
    <t>COMBO SNT-584-7P FLAG S. NOTE EDS/SET</t>
  </si>
  <si>
    <t>ID-1000322</t>
  </si>
  <si>
    <t>M&amp;G STICKY NOTES YS-92 W/GT/BK/S</t>
  </si>
  <si>
    <t>ID-1000323</t>
  </si>
  <si>
    <t>KENKO K-1 GEL PEN HT BDK/LSN</t>
  </si>
  <si>
    <t>ID-1000324</t>
  </si>
  <si>
    <t>SNOWMAN PMNT G-520 HTM BM/LSN</t>
  </si>
  <si>
    <t>BM-1000604</t>
  </si>
  <si>
    <t>BM-1000605</t>
  </si>
  <si>
    <t>BM-1000606</t>
  </si>
  <si>
    <t>BM-1000607</t>
  </si>
  <si>
    <t>BM-1000608</t>
  </si>
  <si>
    <t>BM-1000609</t>
  </si>
  <si>
    <t>BM-1000610</t>
  </si>
  <si>
    <t>BM-1000611</t>
  </si>
  <si>
    <t>BM-1000612</t>
  </si>
  <si>
    <t>BM-1000613</t>
  </si>
  <si>
    <t>BM-1000614</t>
  </si>
  <si>
    <t>BM-1000615</t>
  </si>
  <si>
    <t>BM-1000616</t>
  </si>
  <si>
    <t>BM-1000617</t>
  </si>
  <si>
    <t>BM-1000618</t>
  </si>
  <si>
    <t>BM-1000619</t>
  </si>
  <si>
    <t>BM-1000620</t>
  </si>
  <si>
    <t>BM-1000621</t>
  </si>
  <si>
    <t>BM-1000622</t>
  </si>
  <si>
    <t>BM-1000623</t>
  </si>
  <si>
    <t>BM-1000624</t>
  </si>
  <si>
    <t>BM-1000625</t>
  </si>
  <si>
    <t>BM-1000626</t>
  </si>
  <si>
    <t>BM-1000627</t>
  </si>
  <si>
    <t>BM-1000628</t>
  </si>
  <si>
    <t>BM-1000629</t>
  </si>
  <si>
    <t>BM-1000630</t>
  </si>
  <si>
    <t>BK-1000469</t>
  </si>
  <si>
    <t>BK-1000470</t>
  </si>
  <si>
    <t>BK-1000471</t>
  </si>
  <si>
    <t>BK-1000472</t>
  </si>
  <si>
    <t>BK-1000473</t>
  </si>
  <si>
    <t>BK-1000474</t>
  </si>
  <si>
    <t>BK-1000475</t>
  </si>
  <si>
    <t>BK-1000476</t>
  </si>
  <si>
    <t>BK-1000477</t>
  </si>
  <si>
    <t>BK-1000478</t>
  </si>
  <si>
    <t>BK-1000479</t>
  </si>
  <si>
    <t>BK-1000480</t>
  </si>
  <si>
    <t>BK-1000481</t>
  </si>
  <si>
    <t>BK-1000482</t>
  </si>
  <si>
    <t>BK-1000483</t>
  </si>
  <si>
    <t>Lakban Bening Sanpack 48 x 80</t>
  </si>
  <si>
    <t>BK-1000484</t>
  </si>
  <si>
    <t>BK-1000485</t>
  </si>
  <si>
    <t>BK-1000486</t>
  </si>
  <si>
    <t>BK-1000487</t>
  </si>
  <si>
    <t>BK-1000488</t>
  </si>
  <si>
    <t>ID-1000325</t>
  </si>
  <si>
    <t>GREEBEL GUNTING SC-12</t>
  </si>
  <si>
    <t>ID-1000326</t>
  </si>
  <si>
    <t>TOTEBAG SEDANG</t>
  </si>
  <si>
    <t>BM-1000631</t>
  </si>
  <si>
    <t>BM-1000632</t>
  </si>
  <si>
    <t>BM-1000633</t>
  </si>
  <si>
    <t>BM-1000634</t>
  </si>
  <si>
    <t>BM-1000635</t>
  </si>
  <si>
    <t>BM-1000636</t>
  </si>
  <si>
    <t>BM-1000637</t>
  </si>
  <si>
    <t>BM-1000638</t>
  </si>
  <si>
    <t>BM-1000639</t>
  </si>
  <si>
    <t>BM-1000640</t>
  </si>
  <si>
    <t>BM-1000641</t>
  </si>
  <si>
    <t>BK-1000489</t>
  </si>
  <si>
    <t>BK-1000490</t>
  </si>
  <si>
    <t>BK-1000491</t>
  </si>
  <si>
    <t>BK-1000492</t>
  </si>
  <si>
    <t>BK-1000493</t>
  </si>
  <si>
    <t>BK-1000494</t>
  </si>
  <si>
    <t>BK-1000495</t>
  </si>
  <si>
    <t>BK-1000496</t>
  </si>
  <si>
    <t>BK-1000497</t>
  </si>
  <si>
    <t>BK-1000498</t>
  </si>
  <si>
    <t>BK-1000499</t>
  </si>
  <si>
    <t>BK-1000500</t>
  </si>
  <si>
    <t>BK-1000501</t>
  </si>
  <si>
    <t>BK-1000502</t>
  </si>
  <si>
    <t>BK-1000503</t>
  </si>
  <si>
    <t>BK-1000504</t>
  </si>
  <si>
    <t>BK-1000505</t>
  </si>
  <si>
    <t>BK-1000506</t>
  </si>
  <si>
    <t>BK-1000507</t>
  </si>
  <si>
    <t>BK-1000508</t>
  </si>
  <si>
    <t>BK-1000509</t>
  </si>
  <si>
    <t>BK-1000510</t>
  </si>
  <si>
    <t>BK-1000511</t>
  </si>
  <si>
    <t>BK-1000512</t>
  </si>
  <si>
    <t>BK-1000513</t>
  </si>
  <si>
    <t>BK-1000514</t>
  </si>
  <si>
    <t>BK-1000515</t>
  </si>
  <si>
    <t>BK-1000516</t>
  </si>
  <si>
    <t>BK-1000517</t>
  </si>
  <si>
    <t>BK-1000518</t>
  </si>
  <si>
    <t>BK-1000519</t>
  </si>
  <si>
    <t>BK-1000520</t>
  </si>
  <si>
    <t>BK-1000521</t>
  </si>
  <si>
    <t>BM-1000642</t>
  </si>
  <si>
    <t>ID-1000327</t>
  </si>
  <si>
    <t>Lakban 1 Inci</t>
  </si>
  <si>
    <t>Biji</t>
  </si>
  <si>
    <t>BM-1000643</t>
  </si>
  <si>
    <t>BM-1000644</t>
  </si>
  <si>
    <t>BK-1000522</t>
  </si>
  <si>
    <t>BK-1000523</t>
  </si>
  <si>
    <t>BK-1000524</t>
  </si>
  <si>
    <t>BK-1000525</t>
  </si>
  <si>
    <t>BK-1000526</t>
  </si>
  <si>
    <t>BK-1000527</t>
  </si>
  <si>
    <t>BM-1000645</t>
  </si>
  <si>
    <t>BM-1000646</t>
  </si>
  <si>
    <t>BM-1000647</t>
  </si>
  <si>
    <t>BM-1000648</t>
  </si>
  <si>
    <t>BK-1000528</t>
  </si>
  <si>
    <t>BK-1000529</t>
  </si>
  <si>
    <t>BK-1000530</t>
  </si>
  <si>
    <t>BK-1000531</t>
  </si>
  <si>
    <t>BK-1000532</t>
  </si>
  <si>
    <t>BK-1000533</t>
  </si>
  <si>
    <t>BM-1000649</t>
  </si>
  <si>
    <t>*kertas*</t>
  </si>
  <si>
    <t>BK-1000534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</si>
</sst>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21]dd\ mmmm\ yyyy;@"/>
  </numFmts>
  <fonts count="23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charset val="1"/>
      <scheme val="minor"/>
    </font>
    <font>
      <b/>
      <sz val="11"/>
      <color theme="9" tint="-0.249977111117893"/>
      <name val="Calibri"/>
      <family val="2"/>
      <charset val="1"/>
      <scheme val="minor"/>
    </font>
    <font>
      <b/>
      <sz val="14"/>
      <color theme="0" tint="-0.34998626667073579"/>
      <name val="Roboto Condensed"/>
    </font>
    <font>
      <b/>
      <sz val="12"/>
      <color theme="0" tint="-0.34998626667073579"/>
      <name val="Roboto Condensed"/>
    </font>
    <font>
      <sz val="11"/>
      <color theme="1"/>
      <name val="Calibri"/>
      <family val="2"/>
      <scheme val="minor"/>
    </font>
    <font>
      <b/>
      <u/>
      <sz val="14"/>
      <color theme="1"/>
      <name val="Times New Roman"/>
      <family val="1"/>
    </font>
    <font>
      <b/>
      <u/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20"/>
      <color theme="1"/>
      <name val="Times New Roman"/>
      <family val="1"/>
    </font>
    <font>
      <b/>
      <u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9"/>
      <color theme="1"/>
      <name val="Times New Roman"/>
      <family val="1"/>
    </font>
    <font>
      <sz val="9"/>
      <color theme="1"/>
      <name val="Calibri"/>
      <family val="2"/>
      <charset val="1"/>
      <scheme val="minor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Calibri"/>
      <family val="2"/>
      <charset val="1"/>
      <scheme val="minor"/>
    </font>
    <font>
      <b/>
      <sz val="11"/>
      <color theme="1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6EBF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81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/>
    <xf numFmtId="0" fontId="3" fillId="0" borderId="3" xfId="0" applyFont="1" applyBorder="1" applyAlignment="1">
      <alignment horizontal="center" vertical="center"/>
    </xf>
    <xf numFmtId="0" fontId="3" fillId="0" borderId="3" xfId="0" applyFont="1" applyBorder="1"/>
    <xf numFmtId="0" fontId="0" fillId="0" borderId="0" xfId="0" applyAlignment="1">
      <alignment horizontal="center"/>
    </xf>
    <xf numFmtId="0" fontId="0" fillId="2" borderId="0" xfId="0" applyFill="1"/>
    <xf numFmtId="0" fontId="0" fillId="2" borderId="1" xfId="0" applyFill="1" applyBorder="1"/>
    <xf numFmtId="9" fontId="0" fillId="2" borderId="0" xfId="0" applyNumberFormat="1" applyFill="1"/>
    <xf numFmtId="0" fontId="5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0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/>
    </xf>
    <xf numFmtId="14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3" fillId="0" borderId="3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3" xfId="0" applyFont="1" applyBorder="1" applyAlignment="1">
      <alignment horizontal="left"/>
    </xf>
    <xf numFmtId="164" fontId="10" fillId="0" borderId="4" xfId="0" applyNumberFormat="1" applyFont="1" applyBorder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4" fontId="10" fillId="0" borderId="0" xfId="0" applyNumberFormat="1" applyFont="1" applyAlignment="1">
      <alignment vertical="center"/>
    </xf>
    <xf numFmtId="164" fontId="10" fillId="0" borderId="0" xfId="0" applyNumberFormat="1" applyFont="1" applyAlignment="1">
      <alignment horizontal="left" vertical="center"/>
    </xf>
    <xf numFmtId="164" fontId="10" fillId="0" borderId="0" xfId="0" applyNumberFormat="1" applyFont="1" applyAlignment="1">
      <alignment horizontal="right" vertical="center"/>
    </xf>
    <xf numFmtId="0" fontId="0" fillId="0" borderId="5" xfId="0" applyBorder="1" applyAlignment="1">
      <alignment horizontal="center" vertical="center"/>
    </xf>
    <xf numFmtId="0" fontId="10" fillId="0" borderId="1" xfId="0" applyFont="1" applyBorder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164" fontId="15" fillId="0" borderId="0" xfId="0" applyNumberFormat="1" applyFont="1" applyAlignment="1">
      <alignment horizontal="right" vertical="center"/>
    </xf>
    <xf numFmtId="164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vertical="center"/>
    </xf>
    <xf numFmtId="0" fontId="16" fillId="0" borderId="1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/>
    </xf>
    <xf numFmtId="0" fontId="17" fillId="0" borderId="4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center" vertical="center" wrapText="1"/>
    </xf>
    <xf numFmtId="164" fontId="17" fillId="0" borderId="4" xfId="0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164" fontId="17" fillId="0" borderId="0" xfId="0" applyNumberFormat="1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164" fontId="17" fillId="0" borderId="4" xfId="0" applyNumberFormat="1" applyFont="1" applyBorder="1" applyAlignment="1">
      <alignment horizontal="left" vertical="center" wrapText="1"/>
    </xf>
    <xf numFmtId="164" fontId="17" fillId="0" borderId="0" xfId="0" applyNumberFormat="1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2" fillId="0" borderId="1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left" vertical="center"/>
    </xf>
    <xf numFmtId="0" fontId="11" fillId="0" borderId="6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8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</cellXfs>
  <cellStyles count="2">
    <cellStyle name="Normal" xfId="0" builtinId="0"/>
    <cellStyle name="Normal 2" xfId="1" xr:uid="{025E40E5-DAB9-4413-A062-2E4A8E2EA467}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FF00"/>
      <color rgb="FF66FF33"/>
      <color rgb="FF1DAB90"/>
      <color rgb="FFD2F6F2"/>
      <color rgb="FF93EDDC"/>
      <color rgb="FFFFCC99"/>
      <color rgb="FFFF99CC"/>
      <color rgb="FFE6EB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png"/><Relationship Id="rId15" Type="http://schemas.openxmlformats.org/officeDocument/2006/relationships/hyperlink" Target="#'TERIMA NEW'!Print_Titles"/><Relationship Id="rId10" Type="http://schemas.openxmlformats.org/officeDocument/2006/relationships/image" Target="../media/image11.png"/><Relationship Id="rId4" Type="http://schemas.openxmlformats.org/officeDocument/2006/relationships/image" Target="../media/image5.svg"/><Relationship Id="rId9" Type="http://schemas.openxmlformats.org/officeDocument/2006/relationships/image" Target="../media/image10.svg"/><Relationship Id="rId14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13</xdr:row>
          <xdr:rowOff>12700</xdr:rowOff>
        </xdr:from>
        <xdr:to>
          <xdr:col>19</xdr:col>
          <xdr:colOff>336550</xdr:colOff>
          <xdr:row>29</xdr:row>
          <xdr:rowOff>76200</xdr:rowOff>
        </xdr:to>
        <xdr:sp macro="" textlink="">
          <xdr:nvSpPr>
            <xdr:cNvPr id="1025" name="TABELBARANG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47626</xdr:colOff>
      <xdr:row>0</xdr:row>
      <xdr:rowOff>28575</xdr:rowOff>
    </xdr:from>
    <xdr:to>
      <xdr:col>4</xdr:col>
      <xdr:colOff>581026</xdr:colOff>
      <xdr:row>2</xdr:row>
      <xdr:rowOff>133350</xdr:rowOff>
    </xdr:to>
    <xdr:pic>
      <xdr:nvPicPr>
        <xdr:cNvPr id="7" name="Graphic 6" descr="Ho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47901" y="28575"/>
          <a:ext cx="533400" cy="485775"/>
        </a:xfrm>
        <a:prstGeom prst="rect">
          <a:avLst/>
        </a:prstGeom>
      </xdr:spPr>
    </xdr:pic>
    <xdr:clientData/>
  </xdr:twoCellAnchor>
  <xdr:oneCellAnchor>
    <xdr:from>
      <xdr:col>4</xdr:col>
      <xdr:colOff>28575</xdr:colOff>
      <xdr:row>10</xdr:row>
      <xdr:rowOff>142875</xdr:rowOff>
    </xdr:from>
    <xdr:ext cx="3650487" cy="43056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228850" y="2047875"/>
          <a:ext cx="3650487" cy="4305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d-ID" sz="2000" b="1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DATA BARANG YANG AKAN</a:t>
          </a:r>
          <a:r>
            <a:rPr lang="id-ID" sz="2000" b="1" baseline="0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 HABIS</a:t>
          </a:r>
          <a:endParaRPr lang="id-ID" sz="2000" b="1">
            <a:solidFill>
              <a:schemeClr val="bg1">
                <a:lumMod val="5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>
    <xdr:from>
      <xdr:col>4</xdr:col>
      <xdr:colOff>104775</xdr:colOff>
      <xdr:row>3</xdr:row>
      <xdr:rowOff>28575</xdr:rowOff>
    </xdr:from>
    <xdr:to>
      <xdr:col>23</xdr:col>
      <xdr:colOff>600075</xdr:colOff>
      <xdr:row>3</xdr:row>
      <xdr:rowOff>28575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2305050" y="600075"/>
          <a:ext cx="12077700" cy="0"/>
        </a:xfrm>
        <a:prstGeom prst="line">
          <a:avLst/>
        </a:prstGeom>
        <a:ln w="3810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523875</xdr:colOff>
      <xdr:row>0</xdr:row>
      <xdr:rowOff>76200</xdr:rowOff>
    </xdr:from>
    <xdr:ext cx="6306911" cy="400174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2741839" y="76200"/>
          <a:ext cx="6306911" cy="4001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000" b="1">
              <a:solidFill>
                <a:srgbClr val="1DAB90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SISTEM INFORMASI </a:t>
          </a:r>
          <a:r>
            <a:rPr lang="en-US" sz="2000" b="1" baseline="0">
              <a:solidFill>
                <a:srgbClr val="1DAB90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PERSEDIAAN BARANG</a:t>
          </a:r>
          <a:endParaRPr lang="id-ID" sz="2000" b="1">
            <a:solidFill>
              <a:srgbClr val="1DAB90"/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  <xdr:twoCellAnchor>
    <xdr:from>
      <xdr:col>0</xdr:col>
      <xdr:colOff>0</xdr:colOff>
      <xdr:row>0</xdr:row>
      <xdr:rowOff>1</xdr:rowOff>
    </xdr:from>
    <xdr:to>
      <xdr:col>3</xdr:col>
      <xdr:colOff>0</xdr:colOff>
      <xdr:row>29</xdr:row>
      <xdr:rowOff>52917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1"/>
          <a:ext cx="2063750" cy="5577416"/>
        </a:xfrm>
        <a:prstGeom prst="rect">
          <a:avLst/>
        </a:prstGeom>
        <a:solidFill>
          <a:schemeClr val="bg2">
            <a:lumMod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>
    <xdr:from>
      <xdr:col>16</xdr:col>
      <xdr:colOff>581024</xdr:colOff>
      <xdr:row>10</xdr:row>
      <xdr:rowOff>161924</xdr:rowOff>
    </xdr:from>
    <xdr:to>
      <xdr:col>19</xdr:col>
      <xdr:colOff>0</xdr:colOff>
      <xdr:row>12</xdr:row>
      <xdr:rowOff>152399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10313842" y="2009197"/>
          <a:ext cx="1358613" cy="359929"/>
          <a:chOff x="10096499" y="2066924"/>
          <a:chExt cx="1247776" cy="371475"/>
        </a:xfrm>
      </xdr:grpSpPr>
      <xdr:sp macro="[0]!UpdateDataBArang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0096499" y="2066924"/>
            <a:ext cx="1247776" cy="371475"/>
          </a:xfrm>
          <a:prstGeom prst="roundRect">
            <a:avLst>
              <a:gd name="adj" fmla="val 0"/>
            </a:avLst>
          </a:prstGeom>
          <a:solidFill>
            <a:srgbClr val="1DAB9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Update Data</a:t>
            </a:r>
            <a:endParaRPr lang="id-ID" sz="1100"/>
          </a:p>
        </xdr:txBody>
      </xdr:sp>
      <xdr:pic macro="[0]!UpdateDataBArang">
        <xdr:nvPicPr>
          <xdr:cNvPr id="18" name="Graphic 17" descr="Repeat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34600" y="2085975"/>
            <a:ext cx="323850" cy="3238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57150</xdr:colOff>
      <xdr:row>3</xdr:row>
      <xdr:rowOff>138112</xdr:rowOff>
    </xdr:from>
    <xdr:to>
      <xdr:col>8</xdr:col>
      <xdr:colOff>342900</xdr:colOff>
      <xdr:row>10</xdr:row>
      <xdr:rowOff>100012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2377786" y="692294"/>
          <a:ext cx="2871932" cy="1254991"/>
          <a:chOff x="2257425" y="709612"/>
          <a:chExt cx="2724150" cy="129540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2257425" y="709612"/>
            <a:ext cx="2724150" cy="1295400"/>
          </a:xfrm>
          <a:prstGeom prst="roundRect">
            <a:avLst>
              <a:gd name="adj" fmla="val 857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42284" y="1009650"/>
            <a:ext cx="433388" cy="433388"/>
          </a:xfrm>
          <a:prstGeom prst="rect">
            <a:avLst/>
          </a:prstGeom>
        </xdr:spPr>
      </xdr:pic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2276475" y="1390650"/>
            <a:ext cx="1037207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0">
                <a:solidFill>
                  <a:srgbClr val="1DAB90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rPr>
              <a:t>Barang Masuk</a:t>
            </a:r>
            <a:endParaRPr lang="id-ID" sz="1200" b="0">
              <a:solidFill>
                <a:srgbClr val="1DAB90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Mongolian Baiti" panose="03000500000000000000" pitchFamily="66" charset="0"/>
            </a:endParaRPr>
          </a:p>
        </xdr:txBody>
      </xdr:sp>
    </xdr:grpSp>
    <xdr:clientData/>
  </xdr:twoCellAnchor>
  <xdr:twoCellAnchor>
    <xdr:from>
      <xdr:col>9</xdr:col>
      <xdr:colOff>171450</xdr:colOff>
      <xdr:row>3</xdr:row>
      <xdr:rowOff>138112</xdr:rowOff>
    </xdr:from>
    <xdr:to>
      <xdr:col>13</xdr:col>
      <xdr:colOff>461962</xdr:colOff>
      <xdr:row>10</xdr:row>
      <xdr:rowOff>100012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5724814" y="692294"/>
          <a:ext cx="2530330" cy="1254991"/>
          <a:chOff x="5419725" y="709612"/>
          <a:chExt cx="2728912" cy="1295400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5424487" y="709612"/>
            <a:ext cx="2724150" cy="1295400"/>
          </a:xfrm>
          <a:prstGeom prst="roundRect">
            <a:avLst>
              <a:gd name="adj" fmla="val 857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29250" y="981941"/>
            <a:ext cx="533400" cy="533400"/>
          </a:xfrm>
          <a:prstGeom prst="rect">
            <a:avLst/>
          </a:prstGeom>
        </xdr:spPr>
      </xdr:pic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5419725" y="1409700"/>
            <a:ext cx="102669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0">
                <a:solidFill>
                  <a:srgbClr val="1DAB90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rPr>
              <a:t>Barang Keluar</a:t>
            </a:r>
            <a:endParaRPr lang="id-ID" sz="1200" b="0">
              <a:solidFill>
                <a:srgbClr val="1DAB90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Mongolian Baiti" panose="03000500000000000000" pitchFamily="66" charset="0"/>
            </a:endParaRPr>
          </a:p>
        </xdr:txBody>
      </xdr:sp>
    </xdr:grpSp>
    <xdr:clientData/>
  </xdr:twoCellAnchor>
  <xdr:twoCellAnchor>
    <xdr:from>
      <xdr:col>14</xdr:col>
      <xdr:colOff>285750</xdr:colOff>
      <xdr:row>3</xdr:row>
      <xdr:rowOff>138112</xdr:rowOff>
    </xdr:from>
    <xdr:to>
      <xdr:col>19</xdr:col>
      <xdr:colOff>4850</xdr:colOff>
      <xdr:row>10</xdr:row>
      <xdr:rowOff>100012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8725477" y="692294"/>
          <a:ext cx="2951828" cy="1254991"/>
          <a:chOff x="8582025" y="709612"/>
          <a:chExt cx="2767100" cy="1295400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8591550" y="709612"/>
            <a:ext cx="2757575" cy="1295400"/>
          </a:xfrm>
          <a:prstGeom prst="roundRect">
            <a:avLst>
              <a:gd name="adj" fmla="val 857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10600" y="914400"/>
            <a:ext cx="571500" cy="571500"/>
          </a:xfrm>
          <a:prstGeom prst="rect">
            <a:avLst/>
          </a:prstGeom>
        </xdr:spPr>
      </xdr:pic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8582025" y="1400175"/>
            <a:ext cx="1888466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0">
                <a:solidFill>
                  <a:srgbClr val="1DAB90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rPr>
              <a:t>Total Barang</a:t>
            </a:r>
            <a:r>
              <a:rPr lang="en-US" sz="1200" b="0" baseline="0">
                <a:solidFill>
                  <a:srgbClr val="1DAB90"/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Mongolian Baiti" panose="03000500000000000000" pitchFamily="66" charset="0"/>
              </a:rPr>
              <a:t> Semua Gudang</a:t>
            </a:r>
            <a:endParaRPr lang="id-ID" sz="1200" b="0">
              <a:solidFill>
                <a:srgbClr val="1DAB90"/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Mongolian Baiti" panose="03000500000000000000" pitchFamily="66" charset="0"/>
            </a:endParaRPr>
          </a:p>
        </xdr:txBody>
      </xdr:sp>
    </xdr:grpSp>
    <xdr:clientData/>
  </xdr:twoCellAnchor>
  <xdr:twoCellAnchor>
    <xdr:from>
      <xdr:col>19</xdr:col>
      <xdr:colOff>314325</xdr:colOff>
      <xdr:row>3</xdr:row>
      <xdr:rowOff>147637</xdr:rowOff>
    </xdr:from>
    <xdr:to>
      <xdr:col>24</xdr:col>
      <xdr:colOff>23900</xdr:colOff>
      <xdr:row>12</xdr:row>
      <xdr:rowOff>171451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11986780" y="701819"/>
          <a:ext cx="2942302" cy="1686359"/>
          <a:chOff x="11658600" y="719137"/>
          <a:chExt cx="2757575" cy="1738314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1658600" y="719137"/>
            <a:ext cx="2757575" cy="1738314"/>
          </a:xfrm>
          <a:prstGeom prst="roundRect">
            <a:avLst>
              <a:gd name="adj" fmla="val 857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GrpSpPr/>
        </xdr:nvGrpSpPr>
        <xdr:grpSpPr>
          <a:xfrm>
            <a:off x="11782425" y="1143000"/>
            <a:ext cx="1584641" cy="848499"/>
            <a:chOff x="11782425" y="1190625"/>
            <a:chExt cx="1584641" cy="848499"/>
          </a:xfrm>
        </xdr:grpSpPr>
        <xdr:pic>
          <xdr:nvPicPr>
            <xdr:cNvPr id="31" name="Graphic 30" descr="House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1782425" y="1190625"/>
              <a:ext cx="628650" cy="628650"/>
            </a:xfrm>
            <a:prstGeom prst="rect">
              <a:avLst/>
            </a:prstGeom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1801475" y="1762125"/>
              <a:ext cx="1565591" cy="276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0">
                  <a:solidFill>
                    <a:schemeClr val="bg1">
                      <a:lumMod val="65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  <a:cs typeface="Mongolian Baiti" panose="03000500000000000000" pitchFamily="66" charset="0"/>
                </a:rPr>
                <a:t>Total Barang Gudang </a:t>
              </a:r>
              <a:r>
                <a:rPr lang="id-ID" sz="1200" b="0">
                  <a:solidFill>
                    <a:schemeClr val="bg1">
                      <a:lumMod val="65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  <a:cs typeface="Mongolian Baiti" panose="03000500000000000000" pitchFamily="66" charset="0"/>
                </a:rPr>
                <a:t>1</a:t>
              </a:r>
            </a:p>
          </xdr:txBody>
        </xdr:sp>
      </xdr:grpSp>
    </xdr:grpSp>
    <xdr:clientData/>
  </xdr:twoCellAnchor>
  <xdr:twoCellAnchor>
    <xdr:from>
      <xdr:col>19</xdr:col>
      <xdr:colOff>314325</xdr:colOff>
      <xdr:row>14</xdr:row>
      <xdr:rowOff>23812</xdr:rowOff>
    </xdr:from>
    <xdr:to>
      <xdr:col>24</xdr:col>
      <xdr:colOff>23900</xdr:colOff>
      <xdr:row>23</xdr:row>
      <xdr:rowOff>47626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pSpPr/>
      </xdr:nvGrpSpPr>
      <xdr:grpSpPr>
        <a:xfrm>
          <a:off x="11986780" y="2609994"/>
          <a:ext cx="2942302" cy="1686359"/>
          <a:chOff x="11658600" y="2690812"/>
          <a:chExt cx="2757575" cy="1738314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1658600" y="2690812"/>
            <a:ext cx="2757575" cy="1738314"/>
          </a:xfrm>
          <a:prstGeom prst="roundRect">
            <a:avLst>
              <a:gd name="adj" fmla="val 857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GrpSpPr/>
        </xdr:nvGrpSpPr>
        <xdr:grpSpPr>
          <a:xfrm>
            <a:off x="11782425" y="3086100"/>
            <a:ext cx="1565591" cy="810399"/>
            <a:chOff x="11791950" y="3209925"/>
            <a:chExt cx="1565591" cy="810399"/>
          </a:xfrm>
        </xdr:grpSpPr>
        <xdr:pic>
          <xdr:nvPicPr>
            <xdr:cNvPr id="33" name="Graphic 32" descr="House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1791950" y="3209925"/>
              <a:ext cx="628650" cy="628650"/>
            </a:xfrm>
            <a:prstGeom prst="rect">
              <a:avLst/>
            </a:prstGeom>
          </xdr:spPr>
        </xdr:pic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 txBox="1"/>
          </xdr:nvSpPr>
          <xdr:spPr>
            <a:xfrm>
              <a:off x="11791950" y="3743325"/>
              <a:ext cx="1565591" cy="276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0">
                  <a:solidFill>
                    <a:schemeClr val="bg1">
                      <a:lumMod val="65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  <a:cs typeface="Mongolian Baiti" panose="03000500000000000000" pitchFamily="66" charset="0"/>
                </a:rPr>
                <a:t>Total Barang Gudang </a:t>
              </a:r>
              <a:r>
                <a:rPr lang="id-ID" sz="1200" b="0">
                  <a:solidFill>
                    <a:schemeClr val="bg1">
                      <a:lumMod val="65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  <a:cs typeface="Mongolian Baiti" panose="03000500000000000000" pitchFamily="66" charset="0"/>
                </a:rPr>
                <a:t>2</a:t>
              </a:r>
            </a:p>
          </xdr:txBody>
        </xdr:sp>
      </xdr:grpSp>
    </xdr:grpSp>
    <xdr:clientData/>
  </xdr:twoCellAnchor>
  <xdr:twoCellAnchor>
    <xdr:from>
      <xdr:col>19</xdr:col>
      <xdr:colOff>314325</xdr:colOff>
      <xdr:row>24</xdr:row>
      <xdr:rowOff>90487</xdr:rowOff>
    </xdr:from>
    <xdr:to>
      <xdr:col>24</xdr:col>
      <xdr:colOff>23900</xdr:colOff>
      <xdr:row>33</xdr:row>
      <xdr:rowOff>47626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11986780" y="4523942"/>
          <a:ext cx="2942302" cy="1665866"/>
          <a:chOff x="11658600" y="4662487"/>
          <a:chExt cx="2757575" cy="1738314"/>
        </a:xfrm>
      </xdr:grpSpPr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1658600" y="4662487"/>
            <a:ext cx="2757575" cy="1738314"/>
          </a:xfrm>
          <a:prstGeom prst="roundRect">
            <a:avLst>
              <a:gd name="adj" fmla="val 8579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GrpSpPr/>
        </xdr:nvGrpSpPr>
        <xdr:grpSpPr>
          <a:xfrm>
            <a:off x="11782425" y="5057775"/>
            <a:ext cx="1575116" cy="831414"/>
            <a:chOff x="11782425" y="5105400"/>
            <a:chExt cx="1575116" cy="831414"/>
          </a:xfrm>
        </xdr:grpSpPr>
        <xdr:pic>
          <xdr:nvPicPr>
            <xdr:cNvPr id="34" name="Graphic 33" descr="House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1782425" y="5105400"/>
              <a:ext cx="628650" cy="628650"/>
            </a:xfrm>
            <a:prstGeom prst="rect">
              <a:avLst/>
            </a:prstGeom>
          </xdr:spPr>
        </xdr:pic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 txBox="1"/>
          </xdr:nvSpPr>
          <xdr:spPr>
            <a:xfrm>
              <a:off x="11791950" y="5657850"/>
              <a:ext cx="1565591" cy="2789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0">
                  <a:solidFill>
                    <a:schemeClr val="bg1">
                      <a:lumMod val="65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  <a:cs typeface="Mongolian Baiti" panose="03000500000000000000" pitchFamily="66" charset="0"/>
                </a:rPr>
                <a:t>Total Barang Gudang </a:t>
              </a:r>
              <a:r>
                <a:rPr lang="id-ID" sz="1200" b="0">
                  <a:solidFill>
                    <a:schemeClr val="bg1">
                      <a:lumMod val="65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  <a:cs typeface="Mongolian Baiti" panose="03000500000000000000" pitchFamily="66" charset="0"/>
                </a:rPr>
                <a:t>3</a:t>
              </a:r>
            </a:p>
          </xdr:txBody>
        </xdr:sp>
      </xdr:grpSp>
    </xdr:grpSp>
    <xdr:clientData/>
  </xdr:twoCellAnchor>
  <xdr:twoCellAnchor editAs="oneCell">
    <xdr:from>
      <xdr:col>0</xdr:col>
      <xdr:colOff>462642</xdr:colOff>
      <xdr:row>2</xdr:row>
      <xdr:rowOff>43543</xdr:rowOff>
    </xdr:from>
    <xdr:to>
      <xdr:col>2</xdr:col>
      <xdr:colOff>489856</xdr:colOff>
      <xdr:row>7</xdr:row>
      <xdr:rowOff>129268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4" r="10804"/>
        <a:stretch/>
      </xdr:blipFill>
      <xdr:spPr>
        <a:xfrm>
          <a:off x="462642" y="424543"/>
          <a:ext cx="1251857" cy="1038225"/>
        </a:xfrm>
        <a:prstGeom prst="roundRect">
          <a:avLst/>
        </a:prstGeom>
      </xdr:spPr>
    </xdr:pic>
    <xdr:clientData/>
  </xdr:twoCellAnchor>
  <xdr:twoCellAnchor>
    <xdr:from>
      <xdr:col>0</xdr:col>
      <xdr:colOff>1</xdr:colOff>
      <xdr:row>9</xdr:row>
      <xdr:rowOff>114300</xdr:rowOff>
    </xdr:from>
    <xdr:to>
      <xdr:col>3</xdr:col>
      <xdr:colOff>1</xdr:colOff>
      <xdr:row>11</xdr:row>
      <xdr:rowOff>123825</xdr:rowOff>
    </xdr:to>
    <xdr:sp macro="[0]!BukaDataBarang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1" y="1828800"/>
          <a:ext cx="2057400" cy="390525"/>
        </a:xfrm>
        <a:prstGeom prst="roundRect">
          <a:avLst>
            <a:gd name="adj" fmla="val 0"/>
          </a:avLst>
        </a:prstGeom>
        <a:solidFill>
          <a:srgbClr val="66FF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600" b="1">
              <a:solidFill>
                <a:sysClr val="windowText" lastClr="000000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Data Barang</a:t>
          </a:r>
          <a:endParaRPr lang="id-ID" sz="1600" b="1">
            <a:solidFill>
              <a:sysClr val="windowText" lastClr="000000"/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13</xdr:row>
      <xdr:rowOff>28575</xdr:rowOff>
    </xdr:from>
    <xdr:to>
      <xdr:col>3</xdr:col>
      <xdr:colOff>0</xdr:colOff>
      <xdr:row>15</xdr:row>
      <xdr:rowOff>38100</xdr:rowOff>
    </xdr:to>
    <xdr:sp macro="[0]!BarangMasuk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0" y="2505075"/>
          <a:ext cx="2057400" cy="390525"/>
        </a:xfrm>
        <a:prstGeom prst="roundRect">
          <a:avLst>
            <a:gd name="adj" fmla="val 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600" b="1">
              <a:latin typeface="Roboto Condensed" panose="02000000000000000000" pitchFamily="2" charset="0"/>
              <a:ea typeface="Roboto Condensed" panose="02000000000000000000" pitchFamily="2" charset="0"/>
            </a:rPr>
            <a:t>Barang Masuk</a:t>
          </a:r>
          <a:endParaRPr lang="id-ID" sz="1600" b="1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16</xdr:row>
      <xdr:rowOff>85725</xdr:rowOff>
    </xdr:from>
    <xdr:to>
      <xdr:col>3</xdr:col>
      <xdr:colOff>0</xdr:colOff>
      <xdr:row>18</xdr:row>
      <xdr:rowOff>95250</xdr:rowOff>
    </xdr:to>
    <xdr:sp macro="[0]!BarangKeluar" textlink="">
      <xdr:nvSpPr>
        <xdr:cNvPr id="55" name="Rectangle: Rounded Corners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0" y="3133725"/>
          <a:ext cx="2057400" cy="390525"/>
        </a:xfrm>
        <a:prstGeom prst="roundRect">
          <a:avLst>
            <a:gd name="adj" fmla="val 0"/>
          </a:avLst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600" b="1">
              <a:latin typeface="Roboto Condensed" panose="02000000000000000000" pitchFamily="2" charset="0"/>
              <a:ea typeface="Roboto Condensed" panose="02000000000000000000" pitchFamily="2" charset="0"/>
            </a:rPr>
            <a:t>Barang Keluar</a:t>
          </a:r>
          <a:endParaRPr lang="id-ID" sz="1600" b="1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22</xdr:row>
      <xdr:rowOff>104775</xdr:rowOff>
    </xdr:from>
    <xdr:to>
      <xdr:col>3</xdr:col>
      <xdr:colOff>0</xdr:colOff>
      <xdr:row>24</xdr:row>
      <xdr:rowOff>114300</xdr:rowOff>
    </xdr:to>
    <xdr:sp macro="[0]!SimpanData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0" y="4295775"/>
          <a:ext cx="2057400" cy="390525"/>
        </a:xfrm>
        <a:prstGeom prst="roundRect">
          <a:avLst>
            <a:gd name="adj" fmla="val 0"/>
          </a:avLst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600" b="1">
              <a:latin typeface="Roboto Condensed" panose="02000000000000000000" pitchFamily="2" charset="0"/>
              <a:ea typeface="Roboto Condensed" panose="02000000000000000000" pitchFamily="2" charset="0"/>
            </a:rPr>
            <a:t>Simpan</a:t>
          </a:r>
          <a:endParaRPr lang="id-ID" sz="1600" b="1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0</xdr:col>
      <xdr:colOff>9525</xdr:colOff>
      <xdr:row>25</xdr:row>
      <xdr:rowOff>123825</xdr:rowOff>
    </xdr:from>
    <xdr:to>
      <xdr:col>3</xdr:col>
      <xdr:colOff>9525</xdr:colOff>
      <xdr:row>27</xdr:row>
      <xdr:rowOff>133350</xdr:rowOff>
    </xdr:to>
    <xdr:sp macro="[0]!Keluar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9525" y="4886325"/>
          <a:ext cx="2057400" cy="390525"/>
        </a:xfrm>
        <a:prstGeom prst="roundRect">
          <a:avLst>
            <a:gd name="adj" fmla="val 0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600" b="1">
              <a:latin typeface="Roboto Condensed" panose="02000000000000000000" pitchFamily="2" charset="0"/>
              <a:ea typeface="Roboto Condensed" panose="02000000000000000000" pitchFamily="2" charset="0"/>
            </a:rPr>
            <a:t>Keluar</a:t>
          </a:r>
          <a:endParaRPr lang="id-ID" sz="1600" b="1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4</xdr:col>
      <xdr:colOff>66675</xdr:colOff>
      <xdr:row>8</xdr:row>
      <xdr:rowOff>66675</xdr:rowOff>
    </xdr:from>
    <xdr:to>
      <xdr:col>8</xdr:col>
      <xdr:colOff>276225</xdr:colOff>
      <xdr:row>10</xdr:row>
      <xdr:rowOff>47625</xdr:rowOff>
    </xdr:to>
    <xdr:sp macro="" textlink="$AA$12">
      <xdr:nvSpPr>
        <xdr:cNvPr id="51" name="Rectangl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2266950" y="1590675"/>
          <a:ext cx="26479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B37A707E-5804-4C1E-96F4-BAEF395C3E9C}" type="TxLink">
            <a:rPr lang="en-US" sz="1400" b="0" i="0" u="none" strike="noStrike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algn="l"/>
            <a:t>911</a:t>
          </a:fld>
          <a:endParaRPr lang="id-ID" sz="1400">
            <a:solidFill>
              <a:schemeClr val="bg1">
                <a:lumMod val="5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9</xdr:col>
      <xdr:colOff>171450</xdr:colOff>
      <xdr:row>8</xdr:row>
      <xdr:rowOff>85725</xdr:rowOff>
    </xdr:from>
    <xdr:to>
      <xdr:col>13</xdr:col>
      <xdr:colOff>381000</xdr:colOff>
      <xdr:row>10</xdr:row>
      <xdr:rowOff>66675</xdr:rowOff>
    </xdr:to>
    <xdr:sp macro="" textlink="$AA$16">
      <xdr:nvSpPr>
        <xdr:cNvPr id="59" name="Rectangl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5419725" y="1609725"/>
          <a:ext cx="26479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B315BF9B-E628-4DB9-9042-251AAA7D127E}" type="TxLink">
            <a:rPr lang="en-US" sz="1400" b="0" i="0" u="none" strike="noStrike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l"/>
            <a:t>1188</a:t>
          </a:fld>
          <a:endParaRPr lang="id-ID" sz="1400" b="0" i="0" u="none" strike="noStrike">
            <a:solidFill>
              <a:schemeClr val="bg1">
                <a:lumMod val="5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14</xdr:col>
      <xdr:colOff>314325</xdr:colOff>
      <xdr:row>8</xdr:row>
      <xdr:rowOff>95250</xdr:rowOff>
    </xdr:from>
    <xdr:to>
      <xdr:col>18</xdr:col>
      <xdr:colOff>523875</xdr:colOff>
      <xdr:row>10</xdr:row>
      <xdr:rowOff>76200</xdr:rowOff>
    </xdr:to>
    <xdr:sp macro="" textlink="$AA$8">
      <xdr:nvSpPr>
        <xdr:cNvPr id="60" name="Rectangl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8610600" y="1619250"/>
          <a:ext cx="26479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9AA36D73-F583-409F-B33D-D727B10A7D31}" type="TxLink">
            <a:rPr lang="en-US" sz="1400" b="0" i="0" u="none" strike="noStrike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l"/>
            <a:t>489</a:t>
          </a:fld>
          <a:endParaRPr lang="id-ID" sz="1400" b="0" i="0" u="none" strike="noStrike">
            <a:solidFill>
              <a:schemeClr val="bg1">
                <a:lumMod val="5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19</xdr:col>
      <xdr:colOff>447675</xdr:colOff>
      <xdr:row>10</xdr:row>
      <xdr:rowOff>38100</xdr:rowOff>
    </xdr:from>
    <xdr:to>
      <xdr:col>23</xdr:col>
      <xdr:colOff>438150</xdr:colOff>
      <xdr:row>12</xdr:row>
      <xdr:rowOff>19050</xdr:rowOff>
    </xdr:to>
    <xdr:sp macro="" textlink="$AA$19">
      <xdr:nvSpPr>
        <xdr:cNvPr id="61" name="Rectangle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11791950" y="1943100"/>
          <a:ext cx="2428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C570F1D1-41EC-4CA8-A0DC-F8D943D7DF83}" type="TxLink">
            <a:rPr lang="en-US" sz="2400" b="1" i="0" u="none" strike="noStrike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algn="l"/>
            <a:t>0</a:t>
          </a:fld>
          <a:endParaRPr lang="id-ID" sz="4400" b="1">
            <a:solidFill>
              <a:schemeClr val="bg1">
                <a:lumMod val="5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19</xdr:col>
      <xdr:colOff>457200</xdr:colOff>
      <xdr:row>20</xdr:row>
      <xdr:rowOff>85725</xdr:rowOff>
    </xdr:from>
    <xdr:to>
      <xdr:col>23</xdr:col>
      <xdr:colOff>447675</xdr:colOff>
      <xdr:row>22</xdr:row>
      <xdr:rowOff>66675</xdr:rowOff>
    </xdr:to>
    <xdr:sp macro="" textlink="$AA$22">
      <xdr:nvSpPr>
        <xdr:cNvPr id="62" name="Rectangl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11801475" y="3895725"/>
          <a:ext cx="2428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DAAFDCBE-41E5-4CBD-93F8-37A66341088E}" type="TxLink">
            <a:rPr lang="en-US" sz="2400" b="1" i="0" u="none" strike="noStrike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l"/>
            <a:t>489</a:t>
          </a:fld>
          <a:endParaRPr lang="id-ID" sz="2400" b="1" i="0" u="none" strike="noStrike">
            <a:solidFill>
              <a:schemeClr val="bg1">
                <a:lumMod val="5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19</xdr:col>
      <xdr:colOff>428625</xdr:colOff>
      <xdr:row>30</xdr:row>
      <xdr:rowOff>180975</xdr:rowOff>
    </xdr:from>
    <xdr:to>
      <xdr:col>23</xdr:col>
      <xdr:colOff>419100</xdr:colOff>
      <xdr:row>32</xdr:row>
      <xdr:rowOff>95250</xdr:rowOff>
    </xdr:to>
    <xdr:sp macro="" textlink="$AA$25">
      <xdr:nvSpPr>
        <xdr:cNvPr id="63" name="Rectangl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11772900" y="5895975"/>
          <a:ext cx="2428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8F81ED3-135A-4211-9A3D-B70E0B45FCAA}" type="TxLink">
            <a:rPr lang="en-US" sz="2400" b="1" i="0" u="none" strike="noStrike">
              <a:solidFill>
                <a:schemeClr val="bg1">
                  <a:lumMod val="5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Calibri"/>
            </a:rPr>
            <a:pPr marL="0" indent="0" algn="l"/>
            <a:t>0</a:t>
          </a:fld>
          <a:endParaRPr lang="id-ID" sz="2400" b="1" i="0" u="none" strike="noStrike">
            <a:solidFill>
              <a:schemeClr val="bg1">
                <a:lumMod val="50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  <a:cs typeface="Calibri"/>
          </a:endParaRPr>
        </a:p>
      </xdr:txBody>
    </xdr:sp>
    <xdr:clientData/>
  </xdr:twoCellAnchor>
  <xdr:twoCellAnchor>
    <xdr:from>
      <xdr:col>0</xdr:col>
      <xdr:colOff>9525</xdr:colOff>
      <xdr:row>19</xdr:row>
      <xdr:rowOff>95250</xdr:rowOff>
    </xdr:from>
    <xdr:to>
      <xdr:col>3</xdr:col>
      <xdr:colOff>9525</xdr:colOff>
      <xdr:row>21</xdr:row>
      <xdr:rowOff>104775</xdr:rowOff>
    </xdr:to>
    <xdr:sp macro="[0]!TandaTerima" textlink="">
      <xdr:nvSpPr>
        <xdr:cNvPr id="6" name="Rectangle: Rounded Corners 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525" y="3714750"/>
          <a:ext cx="2057400" cy="390525"/>
        </a:xfrm>
        <a:prstGeom prst="roundRect">
          <a:avLst>
            <a:gd name="adj" fmla="val 0"/>
          </a:avLst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600" b="1">
              <a:latin typeface="Roboto Condensed" panose="02000000000000000000" pitchFamily="2" charset="0"/>
              <a:ea typeface="Roboto Condensed" panose="02000000000000000000" pitchFamily="2" charset="0"/>
            </a:rPr>
            <a:t>Tanda Terima</a:t>
          </a:r>
          <a:endParaRPr lang="id-ID" sz="1600" b="1"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142876</xdr:rowOff>
    </xdr:from>
    <xdr:to>
      <xdr:col>1</xdr:col>
      <xdr:colOff>2272562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2876"/>
          <a:ext cx="2729762" cy="6381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142876</xdr:rowOff>
    </xdr:from>
    <xdr:to>
      <xdr:col>1</xdr:col>
      <xdr:colOff>2272562</xdr:colOff>
      <xdr:row>3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2876"/>
          <a:ext cx="2729762" cy="6381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E5:AA31"/>
  <sheetViews>
    <sheetView showGridLines="0" tabSelected="1" zoomScale="55" zoomScaleNormal="55" workbookViewId="0">
      <selection activeCell="AD15" sqref="AD15"/>
    </sheetView>
  </sheetViews>
  <sheetFormatPr defaultColWidth="9.1796875" defaultRowHeight="14.5" x14ac:dyDescent="0.35"/>
  <cols>
    <col min="1" max="2" width="9.1796875" style="8"/>
    <col min="3" max="3" width="12.54296875" style="8" customWidth="1"/>
    <col min="4" max="4" width="2.1796875" style="8" customWidth="1"/>
    <col min="5" max="9" width="9.1796875" style="8"/>
    <col min="10" max="10" width="4.26953125" style="8" bestFit="1" customWidth="1"/>
    <col min="11" max="25" width="9.1796875" style="8"/>
    <col min="26" max="26" width="17.453125" style="8" bestFit="1" customWidth="1"/>
    <col min="27" max="27" width="9.1796875" style="13"/>
    <col min="28" max="16384" width="9.1796875" style="8"/>
  </cols>
  <sheetData>
    <row r="5" spans="6:27" x14ac:dyDescent="0.35">
      <c r="Z5" s="8" t="s">
        <v>16</v>
      </c>
    </row>
    <row r="6" spans="6:27" x14ac:dyDescent="0.35">
      <c r="Z6" s="9" t="s">
        <v>21</v>
      </c>
      <c r="AA6" s="14" t="s">
        <v>23</v>
      </c>
    </row>
    <row r="7" spans="6:27" x14ac:dyDescent="0.35">
      <c r="Z7" s="9" t="s">
        <v>14</v>
      </c>
      <c r="AA7" s="14">
        <f>COUNTA(DATABARANG!$B$4:$B$69987)</f>
        <v>316</v>
      </c>
    </row>
    <row r="8" spans="6:27" x14ac:dyDescent="0.35">
      <c r="Z8" s="9" t="s">
        <v>22</v>
      </c>
      <c r="AA8" s="14">
        <f>SUM(DATABARANG!$G$4:$G$69987)</f>
        <v>489</v>
      </c>
    </row>
    <row r="10" spans="6:27" x14ac:dyDescent="0.35">
      <c r="Z10" s="9" t="s">
        <v>17</v>
      </c>
      <c r="AA10" s="14" t="s">
        <v>23</v>
      </c>
    </row>
    <row r="11" spans="6:27" x14ac:dyDescent="0.35">
      <c r="Z11" s="9" t="s">
        <v>18</v>
      </c>
      <c r="AA11" s="14">
        <v>77</v>
      </c>
    </row>
    <row r="12" spans="6:27" x14ac:dyDescent="0.35">
      <c r="Z12" s="9" t="s">
        <v>19</v>
      </c>
      <c r="AA12" s="14">
        <v>911</v>
      </c>
    </row>
    <row r="13" spans="6:27" x14ac:dyDescent="0.35">
      <c r="F13" s="10"/>
    </row>
    <row r="14" spans="6:27" x14ac:dyDescent="0.35">
      <c r="Z14" s="9" t="s">
        <v>20</v>
      </c>
      <c r="AA14" s="14" t="s">
        <v>23</v>
      </c>
    </row>
    <row r="15" spans="6:27" x14ac:dyDescent="0.35">
      <c r="Z15" s="9" t="s">
        <v>18</v>
      </c>
      <c r="AA15" s="14">
        <f>COUNTA(BARANGKELUAR!$B$4:$B$49986)</f>
        <v>486</v>
      </c>
    </row>
    <row r="16" spans="6:27" x14ac:dyDescent="0.35">
      <c r="Z16" s="9" t="s">
        <v>19</v>
      </c>
      <c r="AA16" s="14">
        <f>SUM(BARANGKELUAR!$H$4:$H$49986)</f>
        <v>1188</v>
      </c>
    </row>
    <row r="18" spans="5:27" x14ac:dyDescent="0.35">
      <c r="Z18" s="9" t="s">
        <v>15</v>
      </c>
      <c r="AA18" s="14" t="s">
        <v>23</v>
      </c>
    </row>
    <row r="19" spans="5:27" x14ac:dyDescent="0.35">
      <c r="Z19" s="9" t="s">
        <v>14</v>
      </c>
      <c r="AA19" s="14">
        <f>SUMIF(DATABARANG!$F$4:$F$69987,MENU!$Z$18,DATABARANG!$G$4:$G$69987)</f>
        <v>0</v>
      </c>
    </row>
    <row r="21" spans="5:27" x14ac:dyDescent="0.35">
      <c r="Z21" s="9" t="s">
        <v>7</v>
      </c>
      <c r="AA21" s="14" t="s">
        <v>23</v>
      </c>
    </row>
    <row r="22" spans="5:27" x14ac:dyDescent="0.35">
      <c r="Z22" s="9" t="s">
        <v>14</v>
      </c>
      <c r="AA22" s="14">
        <f>SUMIF(DATABARANG!$F$4:$F$69987,MENU!$Z$21,DATABARANG!$G$4:$G$69987)</f>
        <v>489</v>
      </c>
    </row>
    <row r="24" spans="5:27" x14ac:dyDescent="0.35">
      <c r="Z24" s="9" t="s">
        <v>12</v>
      </c>
      <c r="AA24" s="14" t="s">
        <v>23</v>
      </c>
    </row>
    <row r="25" spans="5:27" x14ac:dyDescent="0.35">
      <c r="Z25" s="9" t="s">
        <v>14</v>
      </c>
      <c r="AA25" s="14">
        <f>SUMIF(DATABARANG!$F$4:$F$69987,MENU!$Z$24,DATABARANG!$G$4:$G$69987)</f>
        <v>0</v>
      </c>
    </row>
    <row r="31" spans="5:27" ht="18" x14ac:dyDescent="0.35">
      <c r="E31" s="11"/>
      <c r="J31" s="12">
        <v>20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ABELBARANG">
          <controlPr defaultSize="0" autoLine="0" autoPict="0" listFillRange="DATABARANG!K4:Q319" r:id="rId5">
            <anchor moveWithCells="1">
              <from>
                <xdr:col>4</xdr:col>
                <xdr:colOff>88900</xdr:colOff>
                <xdr:row>13</xdr:row>
                <xdr:rowOff>12700</xdr:rowOff>
              </from>
              <to>
                <xdr:col>19</xdr:col>
                <xdr:colOff>336550</xdr:colOff>
                <xdr:row>29</xdr:row>
                <xdr:rowOff>76200</xdr:rowOff>
              </to>
            </anchor>
          </controlPr>
        </control>
      </mc:Choice>
      <mc:Fallback>
        <control shapeId="1025" r:id="rId4" name="TABELBARA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319"/>
  <sheetViews>
    <sheetView showGridLines="0" zoomScale="80" zoomScaleNormal="80" workbookViewId="0">
      <selection activeCell="L238" sqref="L238"/>
    </sheetView>
  </sheetViews>
  <sheetFormatPr defaultRowHeight="14.5" x14ac:dyDescent="0.35"/>
  <cols>
    <col min="1" max="1" width="5.54296875" style="1" customWidth="1"/>
    <col min="2" max="2" width="11.54296875" bestFit="1" customWidth="1"/>
    <col min="3" max="3" width="43.81640625" customWidth="1"/>
    <col min="4" max="4" width="45.7265625" bestFit="1" customWidth="1"/>
    <col min="5" max="5" width="7.54296875" bestFit="1" customWidth="1"/>
    <col min="6" max="6" width="9.1796875" bestFit="1" customWidth="1"/>
    <col min="7" max="7" width="4.81640625" style="1" bestFit="1" customWidth="1"/>
    <col min="9" max="9" width="4.81640625" bestFit="1" customWidth="1"/>
    <col min="10" max="10" width="7.26953125" customWidth="1"/>
    <col min="11" max="11" width="7" customWidth="1"/>
    <col min="12" max="12" width="11.54296875" bestFit="1" customWidth="1"/>
    <col min="13" max="13" width="61" bestFit="1" customWidth="1"/>
    <col min="14" max="14" width="45.7265625" bestFit="1" customWidth="1"/>
    <col min="15" max="15" width="7.54296875" bestFit="1" customWidth="1"/>
    <col min="17" max="17" width="4.81640625" bestFit="1" customWidth="1"/>
    <col min="19" max="19" width="14.26953125" bestFit="1" customWidth="1"/>
  </cols>
  <sheetData>
    <row r="1" spans="1:19" x14ac:dyDescent="0.35">
      <c r="S1" t="s">
        <v>11</v>
      </c>
    </row>
    <row r="2" spans="1:19" x14ac:dyDescent="0.35">
      <c r="S2" s="2">
        <f>LEN($S$3)</f>
        <v>3</v>
      </c>
    </row>
    <row r="3" spans="1:19" ht="15" thickBot="1" x14ac:dyDescent="0.4">
      <c r="A3" s="5" t="s">
        <v>0</v>
      </c>
      <c r="B3" s="6" t="s">
        <v>1</v>
      </c>
      <c r="C3" s="6" t="s">
        <v>2</v>
      </c>
      <c r="D3" s="6" t="s">
        <v>3</v>
      </c>
      <c r="E3" s="6" t="s">
        <v>4</v>
      </c>
      <c r="F3" s="6" t="s">
        <v>6</v>
      </c>
      <c r="G3" s="5" t="s">
        <v>5</v>
      </c>
      <c r="I3" s="3" t="s">
        <v>5</v>
      </c>
      <c r="K3" s="5" t="s">
        <v>0</v>
      </c>
      <c r="L3" s="6" t="s">
        <v>1</v>
      </c>
      <c r="M3" s="6" t="s">
        <v>2</v>
      </c>
      <c r="N3" s="6" t="s">
        <v>3</v>
      </c>
      <c r="O3" s="6" t="s">
        <v>4</v>
      </c>
      <c r="P3" s="6" t="s">
        <v>6</v>
      </c>
      <c r="Q3" s="5" t="s">
        <v>5</v>
      </c>
      <c r="S3" s="2">
        <v>327</v>
      </c>
    </row>
    <row r="4" spans="1:19" x14ac:dyDescent="0.35">
      <c r="A4" s="1">
        <f>ROW()-ROW(DATABARANG!$A$3)</f>
        <v>1</v>
      </c>
      <c r="B4" t="s">
        <v>25</v>
      </c>
      <c r="C4" t="s">
        <v>50</v>
      </c>
      <c r="D4" t="s">
        <v>74</v>
      </c>
      <c r="E4" t="s">
        <v>27</v>
      </c>
      <c r="F4" t="s">
        <v>7</v>
      </c>
      <c r="G4" s="1">
        <v>6</v>
      </c>
      <c r="K4" s="1">
        <v>1</v>
      </c>
      <c r="L4" t="s">
        <v>25</v>
      </c>
      <c r="M4" t="s">
        <v>50</v>
      </c>
      <c r="N4" t="s">
        <v>74</v>
      </c>
      <c r="O4" t="s">
        <v>27</v>
      </c>
      <c r="P4" t="s">
        <v>7</v>
      </c>
      <c r="Q4" s="1">
        <v>6</v>
      </c>
    </row>
    <row r="5" spans="1:19" x14ac:dyDescent="0.35">
      <c r="A5" s="1">
        <f>ROW()-ROW(DATABARANG!$A$3)</f>
        <v>2</v>
      </c>
      <c r="B5" t="s">
        <v>28</v>
      </c>
      <c r="C5" t="s">
        <v>51</v>
      </c>
      <c r="D5" t="s">
        <v>75</v>
      </c>
      <c r="E5" t="s">
        <v>35</v>
      </c>
      <c r="F5" t="s">
        <v>7</v>
      </c>
      <c r="G5" s="1">
        <v>3</v>
      </c>
      <c r="K5" s="1">
        <v>2</v>
      </c>
      <c r="L5" t="s">
        <v>28</v>
      </c>
      <c r="M5" t="s">
        <v>51</v>
      </c>
      <c r="N5" t="s">
        <v>75</v>
      </c>
      <c r="O5" t="s">
        <v>35</v>
      </c>
      <c r="P5" t="s">
        <v>7</v>
      </c>
      <c r="Q5" s="1">
        <v>3</v>
      </c>
    </row>
    <row r="6" spans="1:19" x14ac:dyDescent="0.35">
      <c r="A6" s="1">
        <f>ROW()-ROW(DATABARANG!$A$3)</f>
        <v>3</v>
      </c>
      <c r="B6" t="s">
        <v>36</v>
      </c>
      <c r="C6" t="s">
        <v>37</v>
      </c>
      <c r="D6" t="s">
        <v>75</v>
      </c>
      <c r="E6" t="s">
        <v>35</v>
      </c>
      <c r="F6" t="s">
        <v>7</v>
      </c>
      <c r="G6" s="1">
        <v>0</v>
      </c>
      <c r="K6" s="1">
        <v>3</v>
      </c>
      <c r="L6" t="s">
        <v>36</v>
      </c>
      <c r="M6" t="s">
        <v>37</v>
      </c>
      <c r="N6" t="s">
        <v>75</v>
      </c>
      <c r="O6" t="s">
        <v>35</v>
      </c>
      <c r="P6" t="s">
        <v>7</v>
      </c>
      <c r="Q6" s="1">
        <v>0</v>
      </c>
    </row>
    <row r="7" spans="1:19" x14ac:dyDescent="0.35">
      <c r="A7" s="1">
        <f>ROW()-ROW(DATABARANG!$A$3)</f>
        <v>4</v>
      </c>
      <c r="B7" t="s">
        <v>38</v>
      </c>
      <c r="C7" t="s">
        <v>39</v>
      </c>
      <c r="D7" t="s">
        <v>40</v>
      </c>
      <c r="E7" t="s">
        <v>41</v>
      </c>
      <c r="F7" t="s">
        <v>7</v>
      </c>
      <c r="G7" s="1">
        <v>0</v>
      </c>
      <c r="K7" s="1">
        <v>4</v>
      </c>
      <c r="L7" t="s">
        <v>38</v>
      </c>
      <c r="M7" t="s">
        <v>39</v>
      </c>
      <c r="N7" t="s">
        <v>40</v>
      </c>
      <c r="O7" t="s">
        <v>41</v>
      </c>
      <c r="P7" t="s">
        <v>7</v>
      </c>
      <c r="Q7" s="1">
        <v>0</v>
      </c>
    </row>
    <row r="8" spans="1:19" x14ac:dyDescent="0.35">
      <c r="A8" s="1">
        <f>ROW()-ROW(DATABARANG!$A$3)</f>
        <v>5</v>
      </c>
      <c r="B8" t="s">
        <v>42</v>
      </c>
      <c r="C8" t="s">
        <v>43</v>
      </c>
      <c r="D8" t="s">
        <v>76</v>
      </c>
      <c r="E8" t="s">
        <v>30</v>
      </c>
      <c r="F8" t="s">
        <v>7</v>
      </c>
      <c r="G8" s="1">
        <v>2</v>
      </c>
      <c r="K8" s="1">
        <v>5</v>
      </c>
      <c r="L8" t="s">
        <v>42</v>
      </c>
      <c r="M8" t="s">
        <v>43</v>
      </c>
      <c r="N8" t="s">
        <v>76</v>
      </c>
      <c r="O8" t="s">
        <v>30</v>
      </c>
      <c r="P8" t="s">
        <v>7</v>
      </c>
      <c r="Q8" s="1">
        <v>2</v>
      </c>
    </row>
    <row r="9" spans="1:19" x14ac:dyDescent="0.35">
      <c r="A9" s="1">
        <f>ROW()-ROW(DATABARANG!$A$3)</f>
        <v>6</v>
      </c>
      <c r="B9" t="s">
        <v>45</v>
      </c>
      <c r="C9" t="s">
        <v>46</v>
      </c>
      <c r="D9" t="s">
        <v>77</v>
      </c>
      <c r="E9" t="s">
        <v>47</v>
      </c>
      <c r="F9" t="s">
        <v>7</v>
      </c>
      <c r="G9" s="1">
        <v>0</v>
      </c>
      <c r="K9" s="1">
        <v>6</v>
      </c>
      <c r="L9" t="s">
        <v>45</v>
      </c>
      <c r="M9" t="s">
        <v>46</v>
      </c>
      <c r="N9" t="s">
        <v>77</v>
      </c>
      <c r="O9" t="s">
        <v>47</v>
      </c>
      <c r="P9" t="s">
        <v>7</v>
      </c>
      <c r="Q9" s="1">
        <v>0</v>
      </c>
    </row>
    <row r="10" spans="1:19" x14ac:dyDescent="0.35">
      <c r="A10" s="1">
        <f>ROW()-ROW(DATABARANG!$A$3)</f>
        <v>7</v>
      </c>
      <c r="B10" t="s">
        <v>48</v>
      </c>
      <c r="C10" t="s">
        <v>49</v>
      </c>
      <c r="D10" t="s">
        <v>74</v>
      </c>
      <c r="E10" t="s">
        <v>27</v>
      </c>
      <c r="F10" t="s">
        <v>7</v>
      </c>
      <c r="G10" s="1">
        <v>3</v>
      </c>
      <c r="K10" s="1">
        <v>7</v>
      </c>
      <c r="L10" t="s">
        <v>48</v>
      </c>
      <c r="M10" t="s">
        <v>49</v>
      </c>
      <c r="N10" t="s">
        <v>74</v>
      </c>
      <c r="O10" t="s">
        <v>27</v>
      </c>
      <c r="P10" t="s">
        <v>7</v>
      </c>
      <c r="Q10" s="1">
        <v>3</v>
      </c>
    </row>
    <row r="11" spans="1:19" x14ac:dyDescent="0.35">
      <c r="A11" s="1">
        <f>ROW()-ROW(DATABARANG!$A$3)</f>
        <v>8</v>
      </c>
      <c r="B11" t="s">
        <v>52</v>
      </c>
      <c r="C11" t="s">
        <v>53</v>
      </c>
      <c r="D11" t="s">
        <v>75</v>
      </c>
      <c r="E11" t="s">
        <v>35</v>
      </c>
      <c r="F11" t="s">
        <v>7</v>
      </c>
      <c r="G11" s="1">
        <v>8</v>
      </c>
      <c r="K11" s="1">
        <v>8</v>
      </c>
      <c r="L11" t="s">
        <v>52</v>
      </c>
      <c r="M11" t="s">
        <v>53</v>
      </c>
      <c r="N11" t="s">
        <v>75</v>
      </c>
      <c r="O11" t="s">
        <v>35</v>
      </c>
      <c r="P11" t="s">
        <v>7</v>
      </c>
      <c r="Q11" s="1">
        <v>8</v>
      </c>
    </row>
    <row r="12" spans="1:19" x14ac:dyDescent="0.35">
      <c r="A12" s="1">
        <f>ROW()-ROW(DATABARANG!$A$3)</f>
        <v>9</v>
      </c>
      <c r="B12" t="s">
        <v>54</v>
      </c>
      <c r="C12" t="s">
        <v>55</v>
      </c>
      <c r="D12" t="s">
        <v>75</v>
      </c>
      <c r="E12" t="s">
        <v>35</v>
      </c>
      <c r="F12" t="s">
        <v>7</v>
      </c>
      <c r="G12" s="1">
        <v>2</v>
      </c>
      <c r="K12" s="1">
        <v>9</v>
      </c>
      <c r="L12" t="s">
        <v>54</v>
      </c>
      <c r="M12" t="s">
        <v>55</v>
      </c>
      <c r="N12" t="s">
        <v>75</v>
      </c>
      <c r="O12" t="s">
        <v>35</v>
      </c>
      <c r="P12" t="s">
        <v>7</v>
      </c>
      <c r="Q12" s="1">
        <v>2</v>
      </c>
    </row>
    <row r="13" spans="1:19" x14ac:dyDescent="0.35">
      <c r="A13" s="1">
        <f>ROW()-ROW(DATABARANG!$A$3)</f>
        <v>10</v>
      </c>
      <c r="B13" t="s">
        <v>56</v>
      </c>
      <c r="C13" t="s">
        <v>57</v>
      </c>
      <c r="D13" t="s">
        <v>75</v>
      </c>
      <c r="E13" t="s">
        <v>35</v>
      </c>
      <c r="F13" t="s">
        <v>7</v>
      </c>
      <c r="G13" s="1">
        <v>4</v>
      </c>
      <c r="K13" s="1">
        <v>10</v>
      </c>
      <c r="L13" t="s">
        <v>56</v>
      </c>
      <c r="M13" t="s">
        <v>57</v>
      </c>
      <c r="N13" t="s">
        <v>75</v>
      </c>
      <c r="O13" t="s">
        <v>35</v>
      </c>
      <c r="P13" t="s">
        <v>7</v>
      </c>
      <c r="Q13" s="1">
        <v>4</v>
      </c>
    </row>
    <row r="14" spans="1:19" x14ac:dyDescent="0.35">
      <c r="A14" s="1">
        <f>ROW()-ROW(DATABARANG!$A$3)</f>
        <v>11</v>
      </c>
      <c r="B14" t="s">
        <v>58</v>
      </c>
      <c r="C14" t="s">
        <v>59</v>
      </c>
      <c r="D14" t="s">
        <v>75</v>
      </c>
      <c r="E14" t="s">
        <v>35</v>
      </c>
      <c r="F14" t="s">
        <v>7</v>
      </c>
      <c r="G14" s="1">
        <v>1</v>
      </c>
      <c r="K14" s="1">
        <v>11</v>
      </c>
      <c r="L14" t="s">
        <v>58</v>
      </c>
      <c r="M14" t="s">
        <v>59</v>
      </c>
      <c r="N14" t="s">
        <v>75</v>
      </c>
      <c r="O14" t="s">
        <v>35</v>
      </c>
      <c r="P14" t="s">
        <v>7</v>
      </c>
      <c r="Q14" s="1">
        <v>1</v>
      </c>
    </row>
    <row r="15" spans="1:19" x14ac:dyDescent="0.35">
      <c r="A15" s="1">
        <f>ROW()-ROW(DATABARANG!$A$3)</f>
        <v>12</v>
      </c>
      <c r="B15" t="s">
        <v>60</v>
      </c>
      <c r="C15" t="s">
        <v>61</v>
      </c>
      <c r="D15" t="s">
        <v>75</v>
      </c>
      <c r="E15" t="s">
        <v>35</v>
      </c>
      <c r="F15" t="s">
        <v>7</v>
      </c>
      <c r="G15" s="1">
        <v>0</v>
      </c>
      <c r="K15" s="1">
        <v>12</v>
      </c>
      <c r="L15" t="s">
        <v>60</v>
      </c>
      <c r="M15" t="s">
        <v>61</v>
      </c>
      <c r="N15" t="s">
        <v>75</v>
      </c>
      <c r="O15" t="s">
        <v>35</v>
      </c>
      <c r="P15" t="s">
        <v>7</v>
      </c>
      <c r="Q15" s="1">
        <v>0</v>
      </c>
    </row>
    <row r="16" spans="1:19" x14ac:dyDescent="0.35">
      <c r="A16" s="1">
        <f>ROW()-ROW(DATABARANG!$A$3)</f>
        <v>13</v>
      </c>
      <c r="B16" t="s">
        <v>62</v>
      </c>
      <c r="C16" t="s">
        <v>63</v>
      </c>
      <c r="D16" t="s">
        <v>75</v>
      </c>
      <c r="E16" t="s">
        <v>35</v>
      </c>
      <c r="F16" t="s">
        <v>7</v>
      </c>
      <c r="G16" s="1">
        <v>2</v>
      </c>
      <c r="K16" s="1">
        <v>13</v>
      </c>
      <c r="L16" t="s">
        <v>62</v>
      </c>
      <c r="M16" t="s">
        <v>63</v>
      </c>
      <c r="N16" t="s">
        <v>75</v>
      </c>
      <c r="O16" t="s">
        <v>35</v>
      </c>
      <c r="P16" t="s">
        <v>7</v>
      </c>
      <c r="Q16" s="1">
        <v>2</v>
      </c>
    </row>
    <row r="17" spans="1:17" x14ac:dyDescent="0.35">
      <c r="A17" s="1">
        <f>ROW()-ROW(DATABARANG!$A$3)</f>
        <v>14</v>
      </c>
      <c r="B17" t="s">
        <v>64</v>
      </c>
      <c r="C17" t="s">
        <v>65</v>
      </c>
      <c r="D17" t="s">
        <v>75</v>
      </c>
      <c r="E17" t="s">
        <v>35</v>
      </c>
      <c r="F17" t="s">
        <v>7</v>
      </c>
      <c r="G17" s="1">
        <v>0</v>
      </c>
      <c r="K17" s="1">
        <v>14</v>
      </c>
      <c r="L17" t="s">
        <v>64</v>
      </c>
      <c r="M17" t="s">
        <v>65</v>
      </c>
      <c r="N17" t="s">
        <v>75</v>
      </c>
      <c r="O17" t="s">
        <v>35</v>
      </c>
      <c r="P17" t="s">
        <v>7</v>
      </c>
      <c r="Q17" s="1">
        <v>0</v>
      </c>
    </row>
    <row r="18" spans="1:17" x14ac:dyDescent="0.35">
      <c r="A18" s="1">
        <f>ROW()-ROW(DATABARANG!$A$3)</f>
        <v>15</v>
      </c>
      <c r="B18" t="s">
        <v>66</v>
      </c>
      <c r="C18" t="s">
        <v>67</v>
      </c>
      <c r="D18" t="s">
        <v>75</v>
      </c>
      <c r="E18" t="s">
        <v>35</v>
      </c>
      <c r="F18" t="s">
        <v>7</v>
      </c>
      <c r="G18" s="1">
        <v>3</v>
      </c>
      <c r="K18" s="1">
        <v>15</v>
      </c>
      <c r="L18" t="s">
        <v>66</v>
      </c>
      <c r="M18" t="s">
        <v>67</v>
      </c>
      <c r="N18" t="s">
        <v>75</v>
      </c>
      <c r="O18" t="s">
        <v>35</v>
      </c>
      <c r="P18" t="s">
        <v>7</v>
      </c>
      <c r="Q18" s="1">
        <v>3</v>
      </c>
    </row>
    <row r="19" spans="1:17" x14ac:dyDescent="0.35">
      <c r="A19" s="1">
        <f>ROW()-ROW(DATABARANG!$A$3)</f>
        <v>16</v>
      </c>
      <c r="B19" t="s">
        <v>68</v>
      </c>
      <c r="C19" t="s">
        <v>69</v>
      </c>
      <c r="D19" t="s">
        <v>75</v>
      </c>
      <c r="E19" t="s">
        <v>35</v>
      </c>
      <c r="F19" t="s">
        <v>7</v>
      </c>
      <c r="G19" s="1">
        <v>3</v>
      </c>
      <c r="K19" s="1">
        <v>16</v>
      </c>
      <c r="L19" t="s">
        <v>68</v>
      </c>
      <c r="M19" t="s">
        <v>69</v>
      </c>
      <c r="N19" t="s">
        <v>75</v>
      </c>
      <c r="O19" t="s">
        <v>35</v>
      </c>
      <c r="P19" t="s">
        <v>7</v>
      </c>
      <c r="Q19" s="1">
        <v>3</v>
      </c>
    </row>
    <row r="20" spans="1:17" x14ac:dyDescent="0.35">
      <c r="A20" s="1">
        <f>ROW()-ROW(DATABARANG!$A$3)</f>
        <v>17</v>
      </c>
      <c r="B20" t="s">
        <v>70</v>
      </c>
      <c r="C20" t="s">
        <v>71</v>
      </c>
      <c r="D20" t="s">
        <v>75</v>
      </c>
      <c r="E20" t="s">
        <v>35</v>
      </c>
      <c r="F20" t="s">
        <v>7</v>
      </c>
      <c r="G20" s="1">
        <v>4</v>
      </c>
      <c r="K20" s="1">
        <v>17</v>
      </c>
      <c r="L20" t="s">
        <v>70</v>
      </c>
      <c r="M20" t="s">
        <v>71</v>
      </c>
      <c r="N20" t="s">
        <v>75</v>
      </c>
      <c r="O20" t="s">
        <v>35</v>
      </c>
      <c r="P20" t="s">
        <v>7</v>
      </c>
      <c r="Q20" s="1">
        <v>4</v>
      </c>
    </row>
    <row r="21" spans="1:17" x14ac:dyDescent="0.35">
      <c r="A21" s="1">
        <f>ROW()-ROW(DATABARANG!$A$3)</f>
        <v>18</v>
      </c>
      <c r="B21" t="s">
        <v>72</v>
      </c>
      <c r="C21" t="s">
        <v>73</v>
      </c>
      <c r="D21" t="s">
        <v>75</v>
      </c>
      <c r="E21" t="s">
        <v>35</v>
      </c>
      <c r="F21" t="s">
        <v>7</v>
      </c>
      <c r="G21" s="1">
        <v>3</v>
      </c>
      <c r="K21" s="1">
        <v>18</v>
      </c>
      <c r="L21" t="s">
        <v>72</v>
      </c>
      <c r="M21" t="s">
        <v>73</v>
      </c>
      <c r="N21" t="s">
        <v>75</v>
      </c>
      <c r="O21" t="s">
        <v>35</v>
      </c>
      <c r="P21" t="s">
        <v>7</v>
      </c>
      <c r="Q21" s="1">
        <v>3</v>
      </c>
    </row>
    <row r="22" spans="1:17" x14ac:dyDescent="0.35">
      <c r="A22" s="1">
        <f>ROW()-ROW(DATABARANG!$A$3)</f>
        <v>19</v>
      </c>
      <c r="B22" t="s">
        <v>78</v>
      </c>
      <c r="C22" t="s">
        <v>79</v>
      </c>
      <c r="D22" t="s">
        <v>80</v>
      </c>
      <c r="E22" t="s">
        <v>30</v>
      </c>
      <c r="F22" t="s">
        <v>7</v>
      </c>
      <c r="G22" s="1">
        <v>0</v>
      </c>
      <c r="K22" s="1">
        <v>19</v>
      </c>
      <c r="L22" t="s">
        <v>78</v>
      </c>
      <c r="M22" t="s">
        <v>79</v>
      </c>
      <c r="N22" t="s">
        <v>80</v>
      </c>
      <c r="O22" t="s">
        <v>30</v>
      </c>
      <c r="P22" t="s">
        <v>7</v>
      </c>
      <c r="Q22" s="1">
        <v>0</v>
      </c>
    </row>
    <row r="23" spans="1:17" x14ac:dyDescent="0.35">
      <c r="A23" s="1">
        <f>ROW()-ROW(DATABARANG!$A$3)</f>
        <v>20</v>
      </c>
      <c r="B23" t="s">
        <v>81</v>
      </c>
      <c r="C23" t="s">
        <v>82</v>
      </c>
      <c r="D23" t="s">
        <v>80</v>
      </c>
      <c r="E23" t="s">
        <v>30</v>
      </c>
      <c r="F23" t="s">
        <v>7</v>
      </c>
      <c r="G23" s="1">
        <v>0</v>
      </c>
      <c r="K23" s="1">
        <v>20</v>
      </c>
      <c r="L23" t="s">
        <v>81</v>
      </c>
      <c r="M23" t="s">
        <v>82</v>
      </c>
      <c r="N23" t="s">
        <v>80</v>
      </c>
      <c r="O23" t="s">
        <v>30</v>
      </c>
      <c r="P23" t="s">
        <v>7</v>
      </c>
      <c r="Q23" s="1">
        <v>0</v>
      </c>
    </row>
    <row r="24" spans="1:17" x14ac:dyDescent="0.35">
      <c r="A24" s="1">
        <f>ROW()-ROW(DATABARANG!$A$3)</f>
        <v>21</v>
      </c>
      <c r="B24" t="s">
        <v>83</v>
      </c>
      <c r="C24" t="s">
        <v>84</v>
      </c>
      <c r="D24" t="s">
        <v>40</v>
      </c>
      <c r="E24" t="s">
        <v>41</v>
      </c>
      <c r="F24" t="s">
        <v>7</v>
      </c>
      <c r="G24" s="1">
        <v>1</v>
      </c>
      <c r="K24" s="1">
        <v>21</v>
      </c>
      <c r="L24" t="s">
        <v>83</v>
      </c>
      <c r="M24" t="s">
        <v>84</v>
      </c>
      <c r="N24" t="s">
        <v>40</v>
      </c>
      <c r="O24" t="s">
        <v>41</v>
      </c>
      <c r="P24" t="s">
        <v>7</v>
      </c>
      <c r="Q24" s="1">
        <v>1</v>
      </c>
    </row>
    <row r="25" spans="1:17" x14ac:dyDescent="0.35">
      <c r="A25" s="1">
        <f>ROW()-ROW(DATABARANG!$A$3)</f>
        <v>22</v>
      </c>
      <c r="B25" t="s">
        <v>85</v>
      </c>
      <c r="C25" t="s">
        <v>86</v>
      </c>
      <c r="D25" t="s">
        <v>77</v>
      </c>
      <c r="E25" t="s">
        <v>30</v>
      </c>
      <c r="F25" t="s">
        <v>7</v>
      </c>
      <c r="G25" s="1">
        <v>0</v>
      </c>
      <c r="K25" s="1">
        <v>22</v>
      </c>
      <c r="L25" t="s">
        <v>85</v>
      </c>
      <c r="M25" t="s">
        <v>86</v>
      </c>
      <c r="N25" t="s">
        <v>77</v>
      </c>
      <c r="O25" t="s">
        <v>30</v>
      </c>
      <c r="P25" t="s">
        <v>7</v>
      </c>
      <c r="Q25" s="1">
        <v>0</v>
      </c>
    </row>
    <row r="26" spans="1:17" x14ac:dyDescent="0.35">
      <c r="A26" s="1">
        <f>ROW()-ROW(DATABARANG!$A$3)</f>
        <v>23</v>
      </c>
      <c r="B26" t="s">
        <v>87</v>
      </c>
      <c r="C26" t="s">
        <v>88</v>
      </c>
      <c r="D26" t="s">
        <v>89</v>
      </c>
      <c r="E26" t="s">
        <v>47</v>
      </c>
      <c r="F26" t="s">
        <v>7</v>
      </c>
      <c r="G26" s="1">
        <v>0</v>
      </c>
      <c r="K26" s="1">
        <v>23</v>
      </c>
      <c r="L26" t="s">
        <v>87</v>
      </c>
      <c r="M26" t="s">
        <v>88</v>
      </c>
      <c r="N26" t="s">
        <v>89</v>
      </c>
      <c r="O26" t="s">
        <v>47</v>
      </c>
      <c r="P26" t="s">
        <v>7</v>
      </c>
      <c r="Q26" s="1">
        <v>0</v>
      </c>
    </row>
    <row r="27" spans="1:17" x14ac:dyDescent="0.35">
      <c r="A27" s="1">
        <f>ROW()-ROW(DATABARANG!$A$3)</f>
        <v>24</v>
      </c>
      <c r="B27" t="s">
        <v>90</v>
      </c>
      <c r="C27" t="s">
        <v>91</v>
      </c>
      <c r="D27" t="s">
        <v>94</v>
      </c>
      <c r="E27" t="s">
        <v>30</v>
      </c>
      <c r="F27" t="s">
        <v>7</v>
      </c>
      <c r="G27" s="1">
        <v>0</v>
      </c>
      <c r="K27" s="1">
        <v>24</v>
      </c>
      <c r="L27" t="s">
        <v>90</v>
      </c>
      <c r="M27" t="s">
        <v>91</v>
      </c>
      <c r="N27" t="s">
        <v>94</v>
      </c>
      <c r="O27" t="s">
        <v>30</v>
      </c>
      <c r="P27" t="s">
        <v>7</v>
      </c>
      <c r="Q27" s="1">
        <v>0</v>
      </c>
    </row>
    <row r="28" spans="1:17" x14ac:dyDescent="0.35">
      <c r="A28" s="1">
        <f>ROW()-ROW(DATABARANG!$A$3)</f>
        <v>25</v>
      </c>
      <c r="B28" t="s">
        <v>92</v>
      </c>
      <c r="C28" t="s">
        <v>93</v>
      </c>
      <c r="D28" t="s">
        <v>94</v>
      </c>
      <c r="E28" t="s">
        <v>106</v>
      </c>
      <c r="F28" t="s">
        <v>7</v>
      </c>
      <c r="G28" s="1">
        <v>0</v>
      </c>
      <c r="K28" s="1">
        <v>25</v>
      </c>
      <c r="L28" t="s">
        <v>92</v>
      </c>
      <c r="M28" t="s">
        <v>93</v>
      </c>
      <c r="N28" t="s">
        <v>94</v>
      </c>
      <c r="O28" t="s">
        <v>106</v>
      </c>
      <c r="P28" t="s">
        <v>7</v>
      </c>
      <c r="Q28" s="1">
        <v>0</v>
      </c>
    </row>
    <row r="29" spans="1:17" x14ac:dyDescent="0.35">
      <c r="A29" s="1">
        <f>ROW()-ROW(DATABARANG!$A$3)</f>
        <v>26</v>
      </c>
      <c r="B29" t="s">
        <v>95</v>
      </c>
      <c r="C29" t="s">
        <v>96</v>
      </c>
      <c r="D29" t="s">
        <v>94</v>
      </c>
      <c r="E29" t="s">
        <v>30</v>
      </c>
      <c r="F29" t="s">
        <v>7</v>
      </c>
      <c r="G29" s="1">
        <v>0</v>
      </c>
      <c r="K29" s="1">
        <v>26</v>
      </c>
      <c r="L29" t="s">
        <v>95</v>
      </c>
      <c r="M29" t="s">
        <v>96</v>
      </c>
      <c r="N29" t="s">
        <v>94</v>
      </c>
      <c r="O29" t="s">
        <v>30</v>
      </c>
      <c r="P29" t="s">
        <v>7</v>
      </c>
      <c r="Q29" s="1">
        <v>0</v>
      </c>
    </row>
    <row r="30" spans="1:17" x14ac:dyDescent="0.35">
      <c r="A30" s="1">
        <f>ROW()-ROW(DATABARANG!$A$3)</f>
        <v>27</v>
      </c>
      <c r="B30" t="s">
        <v>97</v>
      </c>
      <c r="C30" t="s">
        <v>98</v>
      </c>
      <c r="D30" t="s">
        <v>89</v>
      </c>
      <c r="E30" t="s">
        <v>30</v>
      </c>
      <c r="F30" t="s">
        <v>7</v>
      </c>
      <c r="G30" s="1">
        <v>0</v>
      </c>
      <c r="K30" s="1">
        <v>27</v>
      </c>
      <c r="L30" t="s">
        <v>97</v>
      </c>
      <c r="M30" t="s">
        <v>98</v>
      </c>
      <c r="N30" t="s">
        <v>89</v>
      </c>
      <c r="O30" t="s">
        <v>30</v>
      </c>
      <c r="P30" t="s">
        <v>7</v>
      </c>
      <c r="Q30" s="1">
        <v>0</v>
      </c>
    </row>
    <row r="31" spans="1:17" x14ac:dyDescent="0.35">
      <c r="A31" s="1">
        <f>ROW()-ROW(DATABARANG!$A$3)</f>
        <v>28</v>
      </c>
      <c r="B31" t="s">
        <v>99</v>
      </c>
      <c r="C31" t="s">
        <v>100</v>
      </c>
      <c r="D31" t="s">
        <v>89</v>
      </c>
      <c r="E31" t="s">
        <v>30</v>
      </c>
      <c r="F31" t="s">
        <v>7</v>
      </c>
      <c r="G31" s="1">
        <v>0</v>
      </c>
      <c r="K31" s="1">
        <v>28</v>
      </c>
      <c r="L31" t="s">
        <v>99</v>
      </c>
      <c r="M31" t="s">
        <v>100</v>
      </c>
      <c r="N31" t="s">
        <v>89</v>
      </c>
      <c r="O31" t="s">
        <v>30</v>
      </c>
      <c r="P31" t="s">
        <v>7</v>
      </c>
      <c r="Q31" s="1">
        <v>0</v>
      </c>
    </row>
    <row r="32" spans="1:17" x14ac:dyDescent="0.35">
      <c r="A32" s="1">
        <f>ROW()-ROW(DATABARANG!$A$3)</f>
        <v>29</v>
      </c>
      <c r="B32" t="s">
        <v>101</v>
      </c>
      <c r="C32" t="s">
        <v>102</v>
      </c>
      <c r="D32" t="s">
        <v>89</v>
      </c>
      <c r="E32" t="s">
        <v>47</v>
      </c>
      <c r="F32" t="s">
        <v>7</v>
      </c>
      <c r="G32" s="1">
        <v>1</v>
      </c>
      <c r="K32" s="1">
        <v>29</v>
      </c>
      <c r="L32" t="s">
        <v>101</v>
      </c>
      <c r="M32" t="s">
        <v>102</v>
      </c>
      <c r="N32" t="s">
        <v>89</v>
      </c>
      <c r="O32" t="s">
        <v>47</v>
      </c>
      <c r="P32" t="s">
        <v>7</v>
      </c>
      <c r="Q32" s="1">
        <v>1</v>
      </c>
    </row>
    <row r="33" spans="1:17" x14ac:dyDescent="0.35">
      <c r="A33" s="1">
        <f>ROW()-ROW(DATABARANG!$A$3)</f>
        <v>30</v>
      </c>
      <c r="B33" t="s">
        <v>103</v>
      </c>
      <c r="C33" t="s">
        <v>104</v>
      </c>
      <c r="D33" t="s">
        <v>105</v>
      </c>
      <c r="E33" t="s">
        <v>106</v>
      </c>
      <c r="F33" t="s">
        <v>7</v>
      </c>
      <c r="G33" s="1">
        <v>2</v>
      </c>
      <c r="K33" s="1">
        <v>30</v>
      </c>
      <c r="L33" t="s">
        <v>103</v>
      </c>
      <c r="M33" t="s">
        <v>104</v>
      </c>
      <c r="N33" t="s">
        <v>105</v>
      </c>
      <c r="O33" t="s">
        <v>106</v>
      </c>
      <c r="P33" t="s">
        <v>7</v>
      </c>
      <c r="Q33" s="1">
        <v>2</v>
      </c>
    </row>
    <row r="34" spans="1:17" x14ac:dyDescent="0.35">
      <c r="A34" s="1">
        <f>ROW()-ROW(DATABARANG!$A$3)</f>
        <v>31</v>
      </c>
      <c r="B34" t="s">
        <v>107</v>
      </c>
      <c r="C34" t="s">
        <v>108</v>
      </c>
      <c r="D34" t="s">
        <v>109</v>
      </c>
      <c r="E34" t="s">
        <v>106</v>
      </c>
      <c r="F34" t="s">
        <v>7</v>
      </c>
      <c r="G34" s="1">
        <v>0</v>
      </c>
      <c r="K34" s="1">
        <v>31</v>
      </c>
      <c r="L34" t="s">
        <v>107</v>
      </c>
      <c r="M34" t="s">
        <v>108</v>
      </c>
      <c r="N34" t="s">
        <v>109</v>
      </c>
      <c r="O34" t="s">
        <v>106</v>
      </c>
      <c r="P34" t="s">
        <v>7</v>
      </c>
      <c r="Q34" s="1">
        <v>0</v>
      </c>
    </row>
    <row r="35" spans="1:17" x14ac:dyDescent="0.35">
      <c r="A35" s="1">
        <f>ROW()-ROW(DATABARANG!$A$3)</f>
        <v>32</v>
      </c>
      <c r="B35" t="s">
        <v>110</v>
      </c>
      <c r="C35" t="s">
        <v>111</v>
      </c>
      <c r="D35" t="s">
        <v>112</v>
      </c>
      <c r="E35" t="s">
        <v>106</v>
      </c>
      <c r="F35" t="s">
        <v>7</v>
      </c>
      <c r="G35" s="1">
        <v>0</v>
      </c>
      <c r="K35" s="1">
        <v>32</v>
      </c>
      <c r="L35" t="s">
        <v>110</v>
      </c>
      <c r="M35" t="s">
        <v>111</v>
      </c>
      <c r="N35" t="s">
        <v>112</v>
      </c>
      <c r="O35" t="s">
        <v>106</v>
      </c>
      <c r="P35" t="s">
        <v>7</v>
      </c>
      <c r="Q35" s="1">
        <v>0</v>
      </c>
    </row>
    <row r="36" spans="1:17" x14ac:dyDescent="0.35">
      <c r="A36" s="1">
        <f>ROW()-ROW(DATABARANG!$A$3)</f>
        <v>33</v>
      </c>
      <c r="B36" t="s">
        <v>113</v>
      </c>
      <c r="C36" t="s">
        <v>114</v>
      </c>
      <c r="D36" t="s">
        <v>115</v>
      </c>
      <c r="E36" t="s">
        <v>41</v>
      </c>
      <c r="F36" t="s">
        <v>7</v>
      </c>
      <c r="G36" s="1">
        <v>0</v>
      </c>
      <c r="K36" s="1">
        <v>33</v>
      </c>
      <c r="L36" t="s">
        <v>113</v>
      </c>
      <c r="M36" t="s">
        <v>114</v>
      </c>
      <c r="N36" t="s">
        <v>115</v>
      </c>
      <c r="O36" t="s">
        <v>41</v>
      </c>
      <c r="P36" t="s">
        <v>7</v>
      </c>
      <c r="Q36" s="1">
        <v>0</v>
      </c>
    </row>
    <row r="37" spans="1:17" x14ac:dyDescent="0.35">
      <c r="A37" s="1">
        <f>ROW()-ROW(DATABARANG!$A$3)</f>
        <v>34</v>
      </c>
      <c r="B37" t="s">
        <v>116</v>
      </c>
      <c r="C37" t="s">
        <v>117</v>
      </c>
      <c r="D37" t="s">
        <v>118</v>
      </c>
      <c r="E37" t="s">
        <v>30</v>
      </c>
      <c r="F37" t="s">
        <v>7</v>
      </c>
      <c r="G37" s="1">
        <v>0</v>
      </c>
      <c r="K37" s="1">
        <v>34</v>
      </c>
      <c r="L37" t="s">
        <v>116</v>
      </c>
      <c r="M37" t="s">
        <v>117</v>
      </c>
      <c r="N37" t="s">
        <v>118</v>
      </c>
      <c r="O37" t="s">
        <v>30</v>
      </c>
      <c r="P37" t="s">
        <v>7</v>
      </c>
      <c r="Q37" s="1">
        <v>0</v>
      </c>
    </row>
    <row r="38" spans="1:17" x14ac:dyDescent="0.35">
      <c r="A38" s="1">
        <f>ROW()-ROW(DATABARANG!$A$3)</f>
        <v>35</v>
      </c>
      <c r="B38" t="s">
        <v>119</v>
      </c>
      <c r="C38" t="s">
        <v>120</v>
      </c>
      <c r="D38" t="s">
        <v>121</v>
      </c>
      <c r="E38" t="s">
        <v>521</v>
      </c>
      <c r="F38" t="s">
        <v>7</v>
      </c>
      <c r="G38" s="1">
        <v>2</v>
      </c>
      <c r="K38" s="1">
        <v>35</v>
      </c>
      <c r="L38" t="s">
        <v>119</v>
      </c>
      <c r="M38" t="s">
        <v>120</v>
      </c>
      <c r="N38" t="s">
        <v>121</v>
      </c>
      <c r="O38" t="s">
        <v>521</v>
      </c>
      <c r="P38" t="s">
        <v>7</v>
      </c>
      <c r="Q38" s="1">
        <v>2</v>
      </c>
    </row>
    <row r="39" spans="1:17" x14ac:dyDescent="0.35">
      <c r="A39" s="1">
        <f>ROW()-ROW(DATABARANG!$A$3)</f>
        <v>36</v>
      </c>
      <c r="B39" t="s">
        <v>122</v>
      </c>
      <c r="C39" t="s">
        <v>123</v>
      </c>
      <c r="D39" t="s">
        <v>121</v>
      </c>
      <c r="E39" t="s">
        <v>521</v>
      </c>
      <c r="F39" t="s">
        <v>7</v>
      </c>
      <c r="G39" s="1">
        <v>0</v>
      </c>
      <c r="K39" s="1">
        <v>36</v>
      </c>
      <c r="L39" t="s">
        <v>122</v>
      </c>
      <c r="M39" t="s">
        <v>123</v>
      </c>
      <c r="N39" t="s">
        <v>121</v>
      </c>
      <c r="O39" t="s">
        <v>521</v>
      </c>
      <c r="P39" t="s">
        <v>7</v>
      </c>
      <c r="Q39" s="1">
        <v>0</v>
      </c>
    </row>
    <row r="40" spans="1:17" x14ac:dyDescent="0.35">
      <c r="A40" s="1">
        <f>ROW()-ROW(DATABARANG!$A$3)</f>
        <v>37</v>
      </c>
      <c r="B40" t="s">
        <v>124</v>
      </c>
      <c r="C40" t="s">
        <v>125</v>
      </c>
      <c r="D40" t="s">
        <v>76</v>
      </c>
      <c r="E40" t="s">
        <v>30</v>
      </c>
      <c r="F40" t="s">
        <v>7</v>
      </c>
      <c r="G40" s="1">
        <v>0</v>
      </c>
      <c r="K40" s="1">
        <v>37</v>
      </c>
      <c r="L40" t="s">
        <v>124</v>
      </c>
      <c r="M40" t="s">
        <v>125</v>
      </c>
      <c r="N40" t="s">
        <v>76</v>
      </c>
      <c r="O40" t="s">
        <v>30</v>
      </c>
      <c r="P40" t="s">
        <v>7</v>
      </c>
      <c r="Q40" s="1">
        <v>0</v>
      </c>
    </row>
    <row r="41" spans="1:17" x14ac:dyDescent="0.35">
      <c r="A41" s="1">
        <f>ROW()-ROW(DATABARANG!$A$3)</f>
        <v>38</v>
      </c>
      <c r="B41" t="s">
        <v>126</v>
      </c>
      <c r="C41" t="s">
        <v>127</v>
      </c>
      <c r="D41" t="s">
        <v>76</v>
      </c>
      <c r="E41" t="s">
        <v>30</v>
      </c>
      <c r="F41" t="s">
        <v>7</v>
      </c>
      <c r="G41" s="1">
        <v>1</v>
      </c>
      <c r="K41" s="1">
        <v>38</v>
      </c>
      <c r="L41" t="s">
        <v>126</v>
      </c>
      <c r="M41" t="s">
        <v>127</v>
      </c>
      <c r="N41" t="s">
        <v>76</v>
      </c>
      <c r="O41" t="s">
        <v>30</v>
      </c>
      <c r="P41" t="s">
        <v>7</v>
      </c>
      <c r="Q41" s="1">
        <v>1</v>
      </c>
    </row>
    <row r="42" spans="1:17" x14ac:dyDescent="0.35">
      <c r="A42" s="1">
        <f>ROW()-ROW(DATABARANG!$A$3)</f>
        <v>39</v>
      </c>
      <c r="B42" t="s">
        <v>128</v>
      </c>
      <c r="C42" t="s">
        <v>129</v>
      </c>
      <c r="D42" t="s">
        <v>112</v>
      </c>
      <c r="E42" t="s">
        <v>30</v>
      </c>
      <c r="F42" t="s">
        <v>7</v>
      </c>
      <c r="G42" s="1">
        <v>7</v>
      </c>
      <c r="K42" s="1">
        <v>39</v>
      </c>
      <c r="L42" t="s">
        <v>128</v>
      </c>
      <c r="M42" t="s">
        <v>129</v>
      </c>
      <c r="N42" t="s">
        <v>112</v>
      </c>
      <c r="O42" t="s">
        <v>30</v>
      </c>
      <c r="P42" t="s">
        <v>7</v>
      </c>
      <c r="Q42" s="1">
        <v>7</v>
      </c>
    </row>
    <row r="43" spans="1:17" x14ac:dyDescent="0.35">
      <c r="A43" s="1">
        <f>ROW()-ROW(DATABARANG!$A$3)</f>
        <v>40</v>
      </c>
      <c r="B43" t="s">
        <v>130</v>
      </c>
      <c r="C43" t="s">
        <v>271</v>
      </c>
      <c r="D43" t="s">
        <v>115</v>
      </c>
      <c r="E43" t="s">
        <v>506</v>
      </c>
      <c r="F43" t="s">
        <v>7</v>
      </c>
      <c r="G43" s="1">
        <v>0</v>
      </c>
      <c r="K43" s="1">
        <v>40</v>
      </c>
      <c r="L43" t="s">
        <v>130</v>
      </c>
      <c r="M43" t="s">
        <v>271</v>
      </c>
      <c r="N43" t="s">
        <v>115</v>
      </c>
      <c r="O43" t="s">
        <v>506</v>
      </c>
      <c r="P43" t="s">
        <v>7</v>
      </c>
      <c r="Q43" s="1">
        <v>0</v>
      </c>
    </row>
    <row r="44" spans="1:17" x14ac:dyDescent="0.35">
      <c r="A44" s="1">
        <f>ROW()-ROW(DATABARANG!$A$3)</f>
        <v>41</v>
      </c>
      <c r="B44" t="s">
        <v>131</v>
      </c>
      <c r="C44" t="s">
        <v>1329</v>
      </c>
      <c r="D44" t="s">
        <v>112</v>
      </c>
      <c r="E44" t="s">
        <v>106</v>
      </c>
      <c r="F44" t="s">
        <v>7</v>
      </c>
      <c r="G44" s="1">
        <v>0</v>
      </c>
      <c r="K44" s="1">
        <v>41</v>
      </c>
      <c r="L44" t="s">
        <v>131</v>
      </c>
      <c r="M44" t="s">
        <v>1329</v>
      </c>
      <c r="N44" t="s">
        <v>112</v>
      </c>
      <c r="O44" t="s">
        <v>106</v>
      </c>
      <c r="P44" t="s">
        <v>7</v>
      </c>
      <c r="Q44" s="1">
        <v>0</v>
      </c>
    </row>
    <row r="45" spans="1:17" x14ac:dyDescent="0.35">
      <c r="A45" s="1">
        <f>ROW()-ROW(DATABARANG!$A$3)</f>
        <v>42</v>
      </c>
      <c r="B45" t="s">
        <v>132</v>
      </c>
      <c r="C45" t="s">
        <v>133</v>
      </c>
      <c r="D45" t="s">
        <v>112</v>
      </c>
      <c r="E45" t="s">
        <v>41</v>
      </c>
      <c r="F45" t="s">
        <v>7</v>
      </c>
      <c r="G45" s="1">
        <v>0</v>
      </c>
      <c r="K45" s="1">
        <v>42</v>
      </c>
      <c r="L45" t="s">
        <v>132</v>
      </c>
      <c r="M45" t="s">
        <v>133</v>
      </c>
      <c r="N45" t="s">
        <v>112</v>
      </c>
      <c r="O45" t="s">
        <v>41</v>
      </c>
      <c r="P45" t="s">
        <v>7</v>
      </c>
      <c r="Q45" s="1">
        <v>0</v>
      </c>
    </row>
    <row r="46" spans="1:17" x14ac:dyDescent="0.35">
      <c r="A46" s="1">
        <f>ROW()-ROW(DATABARANG!$A$3)</f>
        <v>43</v>
      </c>
      <c r="B46" t="s">
        <v>134</v>
      </c>
      <c r="C46" t="s">
        <v>135</v>
      </c>
      <c r="D46" t="s">
        <v>112</v>
      </c>
      <c r="E46" t="s">
        <v>30</v>
      </c>
      <c r="F46" t="s">
        <v>7</v>
      </c>
      <c r="G46" s="1">
        <v>0</v>
      </c>
      <c r="K46" s="1">
        <v>43</v>
      </c>
      <c r="L46" t="s">
        <v>134</v>
      </c>
      <c r="M46" t="s">
        <v>135</v>
      </c>
      <c r="N46" t="s">
        <v>112</v>
      </c>
      <c r="O46" t="s">
        <v>30</v>
      </c>
      <c r="P46" t="s">
        <v>7</v>
      </c>
      <c r="Q46" s="1">
        <v>0</v>
      </c>
    </row>
    <row r="47" spans="1:17" x14ac:dyDescent="0.35">
      <c r="A47" s="1">
        <f>ROW()-ROW(DATABARANG!$A$3)</f>
        <v>44</v>
      </c>
      <c r="B47" t="s">
        <v>136</v>
      </c>
      <c r="C47" t="s">
        <v>137</v>
      </c>
      <c r="D47" t="s">
        <v>112</v>
      </c>
      <c r="E47" t="s">
        <v>30</v>
      </c>
      <c r="F47" t="s">
        <v>7</v>
      </c>
      <c r="G47" s="1">
        <v>0</v>
      </c>
      <c r="K47" s="1">
        <v>44</v>
      </c>
      <c r="L47" t="s">
        <v>136</v>
      </c>
      <c r="M47" t="s">
        <v>137</v>
      </c>
      <c r="N47" t="s">
        <v>112</v>
      </c>
      <c r="O47" t="s">
        <v>30</v>
      </c>
      <c r="P47" t="s">
        <v>7</v>
      </c>
      <c r="Q47" s="1">
        <v>0</v>
      </c>
    </row>
    <row r="48" spans="1:17" x14ac:dyDescent="0.35">
      <c r="A48" s="1">
        <f>ROW()-ROW(DATABARANG!$A$3)</f>
        <v>45</v>
      </c>
      <c r="B48" t="s">
        <v>138</v>
      </c>
      <c r="C48" t="s">
        <v>139</v>
      </c>
      <c r="D48" t="s">
        <v>76</v>
      </c>
      <c r="E48" t="s">
        <v>30</v>
      </c>
      <c r="F48" t="s">
        <v>7</v>
      </c>
      <c r="G48" s="1">
        <v>4</v>
      </c>
      <c r="K48" s="1">
        <v>45</v>
      </c>
      <c r="L48" t="s">
        <v>138</v>
      </c>
      <c r="M48" t="s">
        <v>139</v>
      </c>
      <c r="N48" t="s">
        <v>76</v>
      </c>
      <c r="O48" t="s">
        <v>30</v>
      </c>
      <c r="P48" t="s">
        <v>7</v>
      </c>
      <c r="Q48" s="1">
        <v>4</v>
      </c>
    </row>
    <row r="49" spans="1:17" x14ac:dyDescent="0.35">
      <c r="A49" s="1">
        <f>ROW()-ROW(DATABARANG!$A$3)</f>
        <v>46</v>
      </c>
      <c r="B49" t="s">
        <v>140</v>
      </c>
      <c r="C49" t="s">
        <v>141</v>
      </c>
      <c r="D49" t="s">
        <v>142</v>
      </c>
      <c r="E49" t="s">
        <v>30</v>
      </c>
      <c r="F49" t="s">
        <v>7</v>
      </c>
      <c r="G49" s="1">
        <v>0</v>
      </c>
      <c r="K49" s="1">
        <v>46</v>
      </c>
      <c r="L49" t="s">
        <v>140</v>
      </c>
      <c r="M49" t="s">
        <v>141</v>
      </c>
      <c r="N49" t="s">
        <v>142</v>
      </c>
      <c r="O49" t="s">
        <v>30</v>
      </c>
      <c r="P49" t="s">
        <v>7</v>
      </c>
      <c r="Q49" s="1">
        <v>0</v>
      </c>
    </row>
    <row r="50" spans="1:17" x14ac:dyDescent="0.35">
      <c r="A50" s="1">
        <f>ROW()-ROW(DATABARANG!$A$3)</f>
        <v>47</v>
      </c>
      <c r="B50" t="s">
        <v>143</v>
      </c>
      <c r="C50" t="s">
        <v>144</v>
      </c>
      <c r="D50" t="s">
        <v>142</v>
      </c>
      <c r="E50" t="s">
        <v>30</v>
      </c>
      <c r="F50" t="s">
        <v>7</v>
      </c>
      <c r="G50" s="1">
        <v>0</v>
      </c>
      <c r="K50" s="1">
        <v>47</v>
      </c>
      <c r="L50" t="s">
        <v>143</v>
      </c>
      <c r="M50" t="s">
        <v>144</v>
      </c>
      <c r="N50" t="s">
        <v>142</v>
      </c>
      <c r="O50" t="s">
        <v>30</v>
      </c>
      <c r="P50" t="s">
        <v>7</v>
      </c>
      <c r="Q50" s="1">
        <v>0</v>
      </c>
    </row>
    <row r="51" spans="1:17" x14ac:dyDescent="0.35">
      <c r="A51" s="1">
        <f>ROW()-ROW(DATABARANG!$A$3)</f>
        <v>48</v>
      </c>
      <c r="B51" t="s">
        <v>145</v>
      </c>
      <c r="C51" t="s">
        <v>146</v>
      </c>
      <c r="D51" t="s">
        <v>147</v>
      </c>
      <c r="E51" t="s">
        <v>30</v>
      </c>
      <c r="F51" t="s">
        <v>7</v>
      </c>
      <c r="G51" s="1">
        <v>0</v>
      </c>
      <c r="K51" s="1">
        <v>48</v>
      </c>
      <c r="L51" t="s">
        <v>145</v>
      </c>
      <c r="M51" t="s">
        <v>146</v>
      </c>
      <c r="N51" t="s">
        <v>147</v>
      </c>
      <c r="O51" t="s">
        <v>30</v>
      </c>
      <c r="P51" t="s">
        <v>7</v>
      </c>
      <c r="Q51" s="1">
        <v>0</v>
      </c>
    </row>
    <row r="52" spans="1:17" x14ac:dyDescent="0.35">
      <c r="A52" s="1">
        <f>ROW()-ROW(DATABARANG!$A$3)</f>
        <v>49</v>
      </c>
      <c r="B52" t="s">
        <v>148</v>
      </c>
      <c r="C52" t="s">
        <v>149</v>
      </c>
      <c r="D52" t="s">
        <v>40</v>
      </c>
      <c r="E52" t="s">
        <v>41</v>
      </c>
      <c r="F52" t="s">
        <v>7</v>
      </c>
      <c r="G52" s="1">
        <v>0</v>
      </c>
      <c r="K52" s="1">
        <v>49</v>
      </c>
      <c r="L52" t="s">
        <v>148</v>
      </c>
      <c r="M52" t="s">
        <v>149</v>
      </c>
      <c r="N52" t="s">
        <v>40</v>
      </c>
      <c r="O52" t="s">
        <v>41</v>
      </c>
      <c r="P52" t="s">
        <v>7</v>
      </c>
      <c r="Q52" s="1">
        <v>0</v>
      </c>
    </row>
    <row r="53" spans="1:17" x14ac:dyDescent="0.35">
      <c r="A53" s="1">
        <f>ROW()-ROW(DATABARANG!$A$3)</f>
        <v>50</v>
      </c>
      <c r="B53" t="s">
        <v>150</v>
      </c>
      <c r="C53" t="s">
        <v>207</v>
      </c>
      <c r="D53" t="s">
        <v>151</v>
      </c>
      <c r="E53" t="s">
        <v>106</v>
      </c>
      <c r="F53" t="s">
        <v>7</v>
      </c>
      <c r="G53" s="1">
        <v>0</v>
      </c>
      <c r="K53" s="1">
        <v>50</v>
      </c>
      <c r="L53" t="s">
        <v>150</v>
      </c>
      <c r="M53" t="s">
        <v>207</v>
      </c>
      <c r="N53" t="s">
        <v>151</v>
      </c>
      <c r="O53" t="s">
        <v>106</v>
      </c>
      <c r="P53" t="s">
        <v>7</v>
      </c>
      <c r="Q53" s="1">
        <v>0</v>
      </c>
    </row>
    <row r="54" spans="1:17" x14ac:dyDescent="0.35">
      <c r="A54" s="1">
        <f>ROW()-ROW(DATABARANG!$A$3)</f>
        <v>51</v>
      </c>
      <c r="B54" t="s">
        <v>152</v>
      </c>
      <c r="C54" t="s">
        <v>153</v>
      </c>
      <c r="D54" t="s">
        <v>142</v>
      </c>
      <c r="E54" t="s">
        <v>30</v>
      </c>
      <c r="F54" t="s">
        <v>7</v>
      </c>
      <c r="G54" s="1">
        <v>1</v>
      </c>
      <c r="K54" s="1">
        <v>51</v>
      </c>
      <c r="L54" t="s">
        <v>152</v>
      </c>
      <c r="M54" t="s">
        <v>153</v>
      </c>
      <c r="N54" t="s">
        <v>142</v>
      </c>
      <c r="O54" t="s">
        <v>30</v>
      </c>
      <c r="P54" t="s">
        <v>7</v>
      </c>
      <c r="Q54" s="1">
        <v>1</v>
      </c>
    </row>
    <row r="55" spans="1:17" x14ac:dyDescent="0.35">
      <c r="A55" s="1">
        <f>ROW()-ROW(DATABARANG!$A$3)</f>
        <v>52</v>
      </c>
      <c r="B55" t="s">
        <v>154</v>
      </c>
      <c r="C55" t="s">
        <v>155</v>
      </c>
      <c r="D55" t="s">
        <v>142</v>
      </c>
      <c r="E55" t="s">
        <v>30</v>
      </c>
      <c r="F55" t="s">
        <v>7</v>
      </c>
      <c r="G55" s="1">
        <v>1</v>
      </c>
      <c r="K55" s="1">
        <v>52</v>
      </c>
      <c r="L55" t="s">
        <v>154</v>
      </c>
      <c r="M55" t="s">
        <v>155</v>
      </c>
      <c r="N55" t="s">
        <v>142</v>
      </c>
      <c r="O55" t="s">
        <v>30</v>
      </c>
      <c r="P55" t="s">
        <v>7</v>
      </c>
      <c r="Q55" s="1">
        <v>1</v>
      </c>
    </row>
    <row r="56" spans="1:17" x14ac:dyDescent="0.35">
      <c r="A56" s="1">
        <f>ROW()-ROW(DATABARANG!$A$3)</f>
        <v>53</v>
      </c>
      <c r="B56" t="s">
        <v>156</v>
      </c>
      <c r="C56" t="s">
        <v>157</v>
      </c>
      <c r="D56" t="s">
        <v>151</v>
      </c>
      <c r="E56" t="s">
        <v>30</v>
      </c>
      <c r="F56" t="s">
        <v>7</v>
      </c>
      <c r="G56" s="1">
        <v>2</v>
      </c>
      <c r="K56" s="1">
        <v>53</v>
      </c>
      <c r="L56" t="s">
        <v>156</v>
      </c>
      <c r="M56" t="s">
        <v>157</v>
      </c>
      <c r="N56" t="s">
        <v>151</v>
      </c>
      <c r="O56" t="s">
        <v>30</v>
      </c>
      <c r="P56" t="s">
        <v>7</v>
      </c>
      <c r="Q56" s="1">
        <v>2</v>
      </c>
    </row>
    <row r="57" spans="1:17" x14ac:dyDescent="0.35">
      <c r="A57" s="1">
        <f>ROW()-ROW(DATABARANG!$A$3)</f>
        <v>54</v>
      </c>
      <c r="B57" t="s">
        <v>158</v>
      </c>
      <c r="C57" t="s">
        <v>159</v>
      </c>
      <c r="D57" t="s">
        <v>142</v>
      </c>
      <c r="E57" t="s">
        <v>106</v>
      </c>
      <c r="F57" t="s">
        <v>7</v>
      </c>
      <c r="G57" s="1">
        <v>0</v>
      </c>
      <c r="K57" s="1">
        <v>54</v>
      </c>
      <c r="L57" t="s">
        <v>158</v>
      </c>
      <c r="M57" t="s">
        <v>159</v>
      </c>
      <c r="N57" t="s">
        <v>142</v>
      </c>
      <c r="O57" t="s">
        <v>106</v>
      </c>
      <c r="P57" t="s">
        <v>7</v>
      </c>
      <c r="Q57" s="1">
        <v>0</v>
      </c>
    </row>
    <row r="58" spans="1:17" x14ac:dyDescent="0.35">
      <c r="A58" s="1">
        <f>ROW()-ROW(DATABARANG!$A$3)</f>
        <v>55</v>
      </c>
      <c r="B58" t="s">
        <v>160</v>
      </c>
      <c r="C58" t="s">
        <v>161</v>
      </c>
      <c r="D58" t="s">
        <v>142</v>
      </c>
      <c r="E58" t="s">
        <v>30</v>
      </c>
      <c r="F58" t="s">
        <v>7</v>
      </c>
      <c r="G58" s="1">
        <v>6</v>
      </c>
      <c r="K58" s="1">
        <v>55</v>
      </c>
      <c r="L58" t="s">
        <v>160</v>
      </c>
      <c r="M58" t="s">
        <v>161</v>
      </c>
      <c r="N58" t="s">
        <v>142</v>
      </c>
      <c r="O58" t="s">
        <v>30</v>
      </c>
      <c r="P58" t="s">
        <v>7</v>
      </c>
      <c r="Q58" s="1">
        <v>6</v>
      </c>
    </row>
    <row r="59" spans="1:17" x14ac:dyDescent="0.35">
      <c r="A59" s="1">
        <f>ROW()-ROW(DATABARANG!$A$3)</f>
        <v>56</v>
      </c>
      <c r="B59" t="s">
        <v>162</v>
      </c>
      <c r="C59" t="s">
        <v>163</v>
      </c>
      <c r="D59" t="s">
        <v>142</v>
      </c>
      <c r="E59" t="s">
        <v>47</v>
      </c>
      <c r="F59" t="s">
        <v>7</v>
      </c>
      <c r="G59" s="1">
        <v>0</v>
      </c>
      <c r="K59" s="1">
        <v>56</v>
      </c>
      <c r="L59" t="s">
        <v>162</v>
      </c>
      <c r="M59" t="s">
        <v>163</v>
      </c>
      <c r="N59" t="s">
        <v>142</v>
      </c>
      <c r="O59" t="s">
        <v>47</v>
      </c>
      <c r="P59" t="s">
        <v>7</v>
      </c>
      <c r="Q59" s="1">
        <v>0</v>
      </c>
    </row>
    <row r="60" spans="1:17" x14ac:dyDescent="0.35">
      <c r="A60" s="1">
        <f>ROW()-ROW(DATABARANG!$A$3)</f>
        <v>57</v>
      </c>
      <c r="B60" t="s">
        <v>164</v>
      </c>
      <c r="C60" t="s">
        <v>165</v>
      </c>
      <c r="D60" t="s">
        <v>142</v>
      </c>
      <c r="E60" t="s">
        <v>30</v>
      </c>
      <c r="F60" t="s">
        <v>7</v>
      </c>
      <c r="G60" s="1">
        <v>2</v>
      </c>
      <c r="K60" s="1">
        <v>57</v>
      </c>
      <c r="L60" t="s">
        <v>164</v>
      </c>
      <c r="M60" t="s">
        <v>165</v>
      </c>
      <c r="N60" t="s">
        <v>142</v>
      </c>
      <c r="O60" t="s">
        <v>30</v>
      </c>
      <c r="P60" t="s">
        <v>7</v>
      </c>
      <c r="Q60" s="1">
        <v>2</v>
      </c>
    </row>
    <row r="61" spans="1:17" x14ac:dyDescent="0.35">
      <c r="A61" s="1">
        <f>ROW()-ROW(DATABARANG!$A$3)</f>
        <v>58</v>
      </c>
      <c r="B61" t="s">
        <v>166</v>
      </c>
      <c r="C61" t="s">
        <v>167</v>
      </c>
      <c r="D61" t="s">
        <v>142</v>
      </c>
      <c r="E61" t="s">
        <v>30</v>
      </c>
      <c r="F61" t="s">
        <v>7</v>
      </c>
      <c r="G61" s="1">
        <v>1</v>
      </c>
      <c r="K61" s="1">
        <v>58</v>
      </c>
      <c r="L61" t="s">
        <v>166</v>
      </c>
      <c r="M61" t="s">
        <v>167</v>
      </c>
      <c r="N61" t="s">
        <v>142</v>
      </c>
      <c r="O61" t="s">
        <v>30</v>
      </c>
      <c r="P61" t="s">
        <v>7</v>
      </c>
      <c r="Q61" s="1">
        <v>1</v>
      </c>
    </row>
    <row r="62" spans="1:17" x14ac:dyDescent="0.35">
      <c r="A62" s="1">
        <f>ROW()-ROW(DATABARANG!$A$3)</f>
        <v>59</v>
      </c>
      <c r="B62" t="s">
        <v>168</v>
      </c>
      <c r="C62" t="s">
        <v>169</v>
      </c>
      <c r="D62" t="s">
        <v>142</v>
      </c>
      <c r="E62" t="s">
        <v>30</v>
      </c>
      <c r="F62" t="s">
        <v>7</v>
      </c>
      <c r="G62" s="1">
        <v>5</v>
      </c>
      <c r="K62" s="1">
        <v>59</v>
      </c>
      <c r="L62" t="s">
        <v>168</v>
      </c>
      <c r="M62" t="s">
        <v>169</v>
      </c>
      <c r="N62" t="s">
        <v>142</v>
      </c>
      <c r="O62" t="s">
        <v>30</v>
      </c>
      <c r="P62" t="s">
        <v>7</v>
      </c>
      <c r="Q62" s="1">
        <v>5</v>
      </c>
    </row>
    <row r="63" spans="1:17" x14ac:dyDescent="0.35">
      <c r="A63" s="1">
        <f>ROW()-ROW(DATABARANG!$A$3)</f>
        <v>60</v>
      </c>
      <c r="B63" t="s">
        <v>170</v>
      </c>
      <c r="C63" t="s">
        <v>171</v>
      </c>
      <c r="D63" t="s">
        <v>142</v>
      </c>
      <c r="E63" t="s">
        <v>30</v>
      </c>
      <c r="F63" t="s">
        <v>7</v>
      </c>
      <c r="G63" s="1">
        <v>0</v>
      </c>
      <c r="K63" s="1">
        <v>60</v>
      </c>
      <c r="L63" t="s">
        <v>170</v>
      </c>
      <c r="M63" t="s">
        <v>171</v>
      </c>
      <c r="N63" t="s">
        <v>142</v>
      </c>
      <c r="O63" t="s">
        <v>30</v>
      </c>
      <c r="P63" t="s">
        <v>7</v>
      </c>
      <c r="Q63" s="1">
        <v>0</v>
      </c>
    </row>
    <row r="64" spans="1:17" x14ac:dyDescent="0.35">
      <c r="A64" s="1">
        <f>ROW()-ROW(DATABARANG!$A$3)</f>
        <v>61</v>
      </c>
      <c r="B64" t="s">
        <v>172</v>
      </c>
      <c r="C64" t="s">
        <v>173</v>
      </c>
      <c r="D64" t="s">
        <v>142</v>
      </c>
      <c r="E64" t="s">
        <v>30</v>
      </c>
      <c r="F64" t="s">
        <v>7</v>
      </c>
      <c r="G64" s="1">
        <v>1</v>
      </c>
      <c r="K64" s="1">
        <v>61</v>
      </c>
      <c r="L64" t="s">
        <v>172</v>
      </c>
      <c r="M64" t="s">
        <v>173</v>
      </c>
      <c r="N64" t="s">
        <v>142</v>
      </c>
      <c r="O64" t="s">
        <v>30</v>
      </c>
      <c r="P64" t="s">
        <v>7</v>
      </c>
      <c r="Q64" s="1">
        <v>1</v>
      </c>
    </row>
    <row r="65" spans="1:17" x14ac:dyDescent="0.35">
      <c r="A65" s="1">
        <f>ROW()-ROW(DATABARANG!$A$3)</f>
        <v>62</v>
      </c>
      <c r="B65" t="s">
        <v>174</v>
      </c>
      <c r="C65" t="s">
        <v>175</v>
      </c>
      <c r="D65" t="s">
        <v>142</v>
      </c>
      <c r="E65" t="s">
        <v>30</v>
      </c>
      <c r="F65" t="s">
        <v>7</v>
      </c>
      <c r="G65" s="1">
        <v>5</v>
      </c>
      <c r="K65" s="1">
        <v>62</v>
      </c>
      <c r="L65" t="s">
        <v>174</v>
      </c>
      <c r="M65" t="s">
        <v>175</v>
      </c>
      <c r="N65" t="s">
        <v>142</v>
      </c>
      <c r="O65" t="s">
        <v>30</v>
      </c>
      <c r="P65" t="s">
        <v>7</v>
      </c>
      <c r="Q65" s="1">
        <v>5</v>
      </c>
    </row>
    <row r="66" spans="1:17" x14ac:dyDescent="0.35">
      <c r="A66" s="1">
        <f>ROW()-ROW(DATABARANG!$A$3)</f>
        <v>63</v>
      </c>
      <c r="B66" t="s">
        <v>176</v>
      </c>
      <c r="C66" t="s">
        <v>177</v>
      </c>
      <c r="D66" t="s">
        <v>142</v>
      </c>
      <c r="E66" t="s">
        <v>106</v>
      </c>
      <c r="F66" t="s">
        <v>7</v>
      </c>
      <c r="G66" s="1">
        <v>1</v>
      </c>
      <c r="K66" s="1">
        <v>63</v>
      </c>
      <c r="L66" t="s">
        <v>176</v>
      </c>
      <c r="M66" t="s">
        <v>177</v>
      </c>
      <c r="N66" t="s">
        <v>142</v>
      </c>
      <c r="O66" t="s">
        <v>106</v>
      </c>
      <c r="P66" t="s">
        <v>7</v>
      </c>
      <c r="Q66" s="1">
        <v>1</v>
      </c>
    </row>
    <row r="67" spans="1:17" x14ac:dyDescent="0.35">
      <c r="A67" s="1">
        <f>ROW()-ROW(DATABARANG!$A$3)</f>
        <v>64</v>
      </c>
      <c r="B67" t="s">
        <v>178</v>
      </c>
      <c r="C67" t="s">
        <v>179</v>
      </c>
      <c r="D67" t="s">
        <v>142</v>
      </c>
      <c r="E67" t="s">
        <v>47</v>
      </c>
      <c r="F67" t="s">
        <v>7</v>
      </c>
      <c r="G67" s="1">
        <v>0</v>
      </c>
      <c r="K67" s="1">
        <v>64</v>
      </c>
      <c r="L67" t="s">
        <v>178</v>
      </c>
      <c r="M67" t="s">
        <v>179</v>
      </c>
      <c r="N67" t="s">
        <v>142</v>
      </c>
      <c r="O67" t="s">
        <v>47</v>
      </c>
      <c r="P67" t="s">
        <v>7</v>
      </c>
      <c r="Q67" s="1">
        <v>0</v>
      </c>
    </row>
    <row r="68" spans="1:17" x14ac:dyDescent="0.35">
      <c r="A68" s="1">
        <f>ROW()-ROW(DATABARANG!$A$3)</f>
        <v>65</v>
      </c>
      <c r="B68" t="s">
        <v>180</v>
      </c>
      <c r="C68" t="s">
        <v>181</v>
      </c>
      <c r="D68" t="s">
        <v>142</v>
      </c>
      <c r="E68" t="s">
        <v>41</v>
      </c>
      <c r="F68" t="s">
        <v>7</v>
      </c>
      <c r="G68" s="1">
        <v>1</v>
      </c>
      <c r="K68" s="1">
        <v>65</v>
      </c>
      <c r="L68" t="s">
        <v>180</v>
      </c>
      <c r="M68" t="s">
        <v>181</v>
      </c>
      <c r="N68" t="s">
        <v>142</v>
      </c>
      <c r="O68" t="s">
        <v>41</v>
      </c>
      <c r="P68" t="s">
        <v>7</v>
      </c>
      <c r="Q68" s="1">
        <v>1</v>
      </c>
    </row>
    <row r="69" spans="1:17" x14ac:dyDescent="0.35">
      <c r="A69" s="1">
        <f>ROW()-ROW(DATABARANG!$A$3)</f>
        <v>66</v>
      </c>
      <c r="B69" t="s">
        <v>182</v>
      </c>
      <c r="C69" t="s">
        <v>183</v>
      </c>
      <c r="D69" t="s">
        <v>142</v>
      </c>
      <c r="E69" t="s">
        <v>35</v>
      </c>
      <c r="F69" t="s">
        <v>7</v>
      </c>
      <c r="G69" s="1">
        <v>1</v>
      </c>
      <c r="K69" s="1">
        <v>66</v>
      </c>
      <c r="L69" t="s">
        <v>182</v>
      </c>
      <c r="M69" t="s">
        <v>183</v>
      </c>
      <c r="N69" t="s">
        <v>142</v>
      </c>
      <c r="O69" t="s">
        <v>35</v>
      </c>
      <c r="P69" t="s">
        <v>7</v>
      </c>
      <c r="Q69" s="1">
        <v>1</v>
      </c>
    </row>
    <row r="70" spans="1:17" x14ac:dyDescent="0.35">
      <c r="A70" s="1">
        <f>ROW()-ROW(DATABARANG!$A$3)</f>
        <v>67</v>
      </c>
      <c r="B70" t="s">
        <v>184</v>
      </c>
      <c r="C70" t="s">
        <v>185</v>
      </c>
      <c r="D70" t="s">
        <v>142</v>
      </c>
      <c r="E70" t="s">
        <v>30</v>
      </c>
      <c r="F70" t="s">
        <v>7</v>
      </c>
      <c r="G70" s="1">
        <v>0</v>
      </c>
      <c r="K70" s="1">
        <v>67</v>
      </c>
      <c r="L70" t="s">
        <v>184</v>
      </c>
      <c r="M70" t="s">
        <v>185</v>
      </c>
      <c r="N70" t="s">
        <v>142</v>
      </c>
      <c r="O70" t="s">
        <v>30</v>
      </c>
      <c r="P70" t="s">
        <v>7</v>
      </c>
      <c r="Q70" s="1">
        <v>0</v>
      </c>
    </row>
    <row r="71" spans="1:17" x14ac:dyDescent="0.35">
      <c r="A71" s="1">
        <f>ROW()-ROW(DATABARANG!$A$3)</f>
        <v>68</v>
      </c>
      <c r="B71" t="s">
        <v>186</v>
      </c>
      <c r="C71" t="s">
        <v>187</v>
      </c>
      <c r="D71" t="s">
        <v>142</v>
      </c>
      <c r="E71" t="s">
        <v>30</v>
      </c>
      <c r="F71" t="s">
        <v>7</v>
      </c>
      <c r="G71" s="1">
        <v>1</v>
      </c>
      <c r="K71" s="1">
        <v>68</v>
      </c>
      <c r="L71" t="s">
        <v>186</v>
      </c>
      <c r="M71" t="s">
        <v>187</v>
      </c>
      <c r="N71" t="s">
        <v>142</v>
      </c>
      <c r="O71" t="s">
        <v>30</v>
      </c>
      <c r="P71" t="s">
        <v>7</v>
      </c>
      <c r="Q71" s="1">
        <v>1</v>
      </c>
    </row>
    <row r="72" spans="1:17" x14ac:dyDescent="0.35">
      <c r="A72" s="1">
        <f>ROW()-ROW(DATABARANG!$A$3)</f>
        <v>69</v>
      </c>
      <c r="B72" t="s">
        <v>188</v>
      </c>
      <c r="C72" t="s">
        <v>189</v>
      </c>
      <c r="D72" t="s">
        <v>142</v>
      </c>
      <c r="E72" t="s">
        <v>30</v>
      </c>
      <c r="F72" t="s">
        <v>7</v>
      </c>
      <c r="G72" s="1">
        <v>0</v>
      </c>
      <c r="K72" s="1">
        <v>69</v>
      </c>
      <c r="L72" t="s">
        <v>188</v>
      </c>
      <c r="M72" t="s">
        <v>189</v>
      </c>
      <c r="N72" t="s">
        <v>142</v>
      </c>
      <c r="O72" t="s">
        <v>30</v>
      </c>
      <c r="P72" t="s">
        <v>7</v>
      </c>
      <c r="Q72" s="1">
        <v>0</v>
      </c>
    </row>
    <row r="73" spans="1:17" x14ac:dyDescent="0.35">
      <c r="A73" s="1">
        <f>ROW()-ROW(DATABARANG!$A$3)</f>
        <v>70</v>
      </c>
      <c r="B73" t="s">
        <v>190</v>
      </c>
      <c r="C73" t="s">
        <v>191</v>
      </c>
      <c r="D73" t="s">
        <v>142</v>
      </c>
      <c r="E73" t="s">
        <v>35</v>
      </c>
      <c r="F73" t="s">
        <v>7</v>
      </c>
      <c r="G73" s="1">
        <v>1</v>
      </c>
      <c r="K73" s="1">
        <v>70</v>
      </c>
      <c r="L73" t="s">
        <v>190</v>
      </c>
      <c r="M73" t="s">
        <v>191</v>
      </c>
      <c r="N73" t="s">
        <v>142</v>
      </c>
      <c r="O73" t="s">
        <v>35</v>
      </c>
      <c r="P73" t="s">
        <v>7</v>
      </c>
      <c r="Q73" s="1">
        <v>1</v>
      </c>
    </row>
    <row r="74" spans="1:17" x14ac:dyDescent="0.35">
      <c r="A74" s="1">
        <f>ROW()-ROW(DATABARANG!$A$3)</f>
        <v>71</v>
      </c>
      <c r="B74" t="s">
        <v>192</v>
      </c>
      <c r="C74" t="s">
        <v>193</v>
      </c>
      <c r="D74" t="s">
        <v>142</v>
      </c>
      <c r="E74" t="s">
        <v>30</v>
      </c>
      <c r="F74" t="s">
        <v>7</v>
      </c>
      <c r="G74" s="1">
        <v>1</v>
      </c>
      <c r="K74" s="1">
        <v>71</v>
      </c>
      <c r="L74" t="s">
        <v>192</v>
      </c>
      <c r="M74" t="s">
        <v>193</v>
      </c>
      <c r="N74" t="s">
        <v>142</v>
      </c>
      <c r="O74" t="s">
        <v>30</v>
      </c>
      <c r="P74" t="s">
        <v>7</v>
      </c>
      <c r="Q74" s="1">
        <v>1</v>
      </c>
    </row>
    <row r="75" spans="1:17" x14ac:dyDescent="0.35">
      <c r="A75" s="1">
        <f>ROW()-ROW(DATABARANG!$A$3)</f>
        <v>72</v>
      </c>
      <c r="B75" t="s">
        <v>194</v>
      </c>
      <c r="C75" t="s">
        <v>195</v>
      </c>
      <c r="D75" t="s">
        <v>142</v>
      </c>
      <c r="E75" t="s">
        <v>30</v>
      </c>
      <c r="F75" t="s">
        <v>7</v>
      </c>
      <c r="G75" s="1">
        <v>5</v>
      </c>
      <c r="K75" s="1">
        <v>72</v>
      </c>
      <c r="L75" t="s">
        <v>194</v>
      </c>
      <c r="M75" t="s">
        <v>195</v>
      </c>
      <c r="N75" t="s">
        <v>142</v>
      </c>
      <c r="O75" t="s">
        <v>30</v>
      </c>
      <c r="P75" t="s">
        <v>7</v>
      </c>
      <c r="Q75" s="1">
        <v>5</v>
      </c>
    </row>
    <row r="76" spans="1:17" x14ac:dyDescent="0.35">
      <c r="A76" s="1">
        <f>ROW()-ROW(DATABARANG!$A$3)</f>
        <v>73</v>
      </c>
      <c r="B76" t="s">
        <v>196</v>
      </c>
      <c r="C76" t="s">
        <v>197</v>
      </c>
      <c r="D76" t="s">
        <v>142</v>
      </c>
      <c r="E76" t="s">
        <v>30</v>
      </c>
      <c r="F76" t="s">
        <v>7</v>
      </c>
      <c r="G76" s="1">
        <v>0</v>
      </c>
      <c r="K76" s="1">
        <v>73</v>
      </c>
      <c r="L76" t="s">
        <v>196</v>
      </c>
      <c r="M76" t="s">
        <v>197</v>
      </c>
      <c r="N76" t="s">
        <v>142</v>
      </c>
      <c r="O76" t="s">
        <v>30</v>
      </c>
      <c r="P76" t="s">
        <v>7</v>
      </c>
      <c r="Q76" s="1">
        <v>0</v>
      </c>
    </row>
    <row r="77" spans="1:17" x14ac:dyDescent="0.35">
      <c r="A77" s="1">
        <f>ROW()-ROW(DATABARANG!$A$3)</f>
        <v>74</v>
      </c>
      <c r="B77" t="s">
        <v>198</v>
      </c>
      <c r="C77" t="s">
        <v>199</v>
      </c>
      <c r="D77" t="s">
        <v>200</v>
      </c>
      <c r="E77" t="s">
        <v>106</v>
      </c>
      <c r="F77" t="s">
        <v>7</v>
      </c>
      <c r="G77" s="1">
        <v>2</v>
      </c>
      <c r="K77" s="1">
        <v>74</v>
      </c>
      <c r="L77" t="s">
        <v>198</v>
      </c>
      <c r="M77" t="s">
        <v>199</v>
      </c>
      <c r="N77" t="s">
        <v>200</v>
      </c>
      <c r="O77" t="s">
        <v>106</v>
      </c>
      <c r="P77" t="s">
        <v>7</v>
      </c>
      <c r="Q77" s="1">
        <v>2</v>
      </c>
    </row>
    <row r="78" spans="1:17" x14ac:dyDescent="0.35">
      <c r="A78" s="1">
        <f>ROW()-ROW(DATABARANG!$A$3)</f>
        <v>75</v>
      </c>
      <c r="B78" t="s">
        <v>205</v>
      </c>
      <c r="C78" t="s">
        <v>206</v>
      </c>
      <c r="D78" t="s">
        <v>112</v>
      </c>
      <c r="E78" t="s">
        <v>30</v>
      </c>
      <c r="F78" t="s">
        <v>7</v>
      </c>
      <c r="G78" s="1">
        <v>9</v>
      </c>
      <c r="K78" s="1">
        <v>75</v>
      </c>
      <c r="L78" t="s">
        <v>205</v>
      </c>
      <c r="M78" t="s">
        <v>206</v>
      </c>
      <c r="N78" t="s">
        <v>112</v>
      </c>
      <c r="O78" t="s">
        <v>30</v>
      </c>
      <c r="P78" t="s">
        <v>7</v>
      </c>
      <c r="Q78" s="1">
        <v>9</v>
      </c>
    </row>
    <row r="79" spans="1:17" x14ac:dyDescent="0.35">
      <c r="A79" s="1">
        <f>ROW()-ROW(DATABARANG!$A$3)</f>
        <v>76</v>
      </c>
      <c r="B79" t="s">
        <v>283</v>
      </c>
      <c r="C79" t="s">
        <v>284</v>
      </c>
      <c r="D79" t="s">
        <v>121</v>
      </c>
      <c r="E79" t="s">
        <v>30</v>
      </c>
      <c r="F79" t="s">
        <v>7</v>
      </c>
      <c r="G79" s="1">
        <v>0</v>
      </c>
      <c r="K79" s="1">
        <v>76</v>
      </c>
      <c r="L79" t="s">
        <v>283</v>
      </c>
      <c r="M79" t="s">
        <v>284</v>
      </c>
      <c r="N79" t="s">
        <v>121</v>
      </c>
      <c r="O79" t="s">
        <v>30</v>
      </c>
      <c r="P79" t="s">
        <v>7</v>
      </c>
      <c r="Q79" s="1">
        <v>0</v>
      </c>
    </row>
    <row r="80" spans="1:17" x14ac:dyDescent="0.35">
      <c r="A80" s="1">
        <f>ROW()-ROW(DATABARANG!$A$3)</f>
        <v>77</v>
      </c>
      <c r="B80" t="s">
        <v>285</v>
      </c>
      <c r="C80" t="s">
        <v>286</v>
      </c>
      <c r="D80" t="s">
        <v>287</v>
      </c>
      <c r="E80" t="s">
        <v>35</v>
      </c>
      <c r="F80" t="s">
        <v>7</v>
      </c>
      <c r="G80" s="1">
        <v>0</v>
      </c>
      <c r="K80" s="1">
        <v>77</v>
      </c>
      <c r="L80" t="s">
        <v>285</v>
      </c>
      <c r="M80" t="s">
        <v>286</v>
      </c>
      <c r="N80" t="s">
        <v>287</v>
      </c>
      <c r="O80" t="s">
        <v>35</v>
      </c>
      <c r="P80" t="s">
        <v>7</v>
      </c>
      <c r="Q80" s="1">
        <v>0</v>
      </c>
    </row>
    <row r="81" spans="1:17" x14ac:dyDescent="0.35">
      <c r="A81" s="1">
        <f>ROW()-ROW(DATABARANG!$A$3)</f>
        <v>78</v>
      </c>
      <c r="B81" t="s">
        <v>288</v>
      </c>
      <c r="C81" t="s">
        <v>289</v>
      </c>
      <c r="D81" t="s">
        <v>76</v>
      </c>
      <c r="E81" t="s">
        <v>30</v>
      </c>
      <c r="F81" t="s">
        <v>7</v>
      </c>
      <c r="G81" s="1">
        <v>0</v>
      </c>
      <c r="K81" s="1">
        <v>78</v>
      </c>
      <c r="L81" t="s">
        <v>288</v>
      </c>
      <c r="M81" t="s">
        <v>289</v>
      </c>
      <c r="N81" t="s">
        <v>76</v>
      </c>
      <c r="O81" t="s">
        <v>30</v>
      </c>
      <c r="P81" t="s">
        <v>7</v>
      </c>
      <c r="Q81" s="1">
        <v>0</v>
      </c>
    </row>
    <row r="82" spans="1:17" x14ac:dyDescent="0.35">
      <c r="A82" s="1">
        <f>ROW()-ROW(DATABARANG!$A$3)</f>
        <v>79</v>
      </c>
      <c r="B82" t="s">
        <v>290</v>
      </c>
      <c r="C82" t="s">
        <v>291</v>
      </c>
      <c r="D82" t="s">
        <v>76</v>
      </c>
      <c r="E82" t="s">
        <v>30</v>
      </c>
      <c r="F82" t="s">
        <v>7</v>
      </c>
      <c r="G82" s="1">
        <v>0</v>
      </c>
      <c r="K82" s="1">
        <v>79</v>
      </c>
      <c r="L82" t="s">
        <v>290</v>
      </c>
      <c r="M82" t="s">
        <v>291</v>
      </c>
      <c r="N82" t="s">
        <v>76</v>
      </c>
      <c r="O82" t="s">
        <v>30</v>
      </c>
      <c r="P82" t="s">
        <v>7</v>
      </c>
      <c r="Q82" s="1">
        <v>0</v>
      </c>
    </row>
    <row r="83" spans="1:17" x14ac:dyDescent="0.35">
      <c r="A83" s="1">
        <f>ROW()-ROW(DATABARANG!$A$3)</f>
        <v>80</v>
      </c>
      <c r="B83" t="s">
        <v>292</v>
      </c>
      <c r="C83" t="s">
        <v>293</v>
      </c>
      <c r="D83" t="s">
        <v>40</v>
      </c>
      <c r="E83" t="s">
        <v>41</v>
      </c>
      <c r="F83" t="s">
        <v>7</v>
      </c>
      <c r="G83" s="1">
        <v>0</v>
      </c>
      <c r="K83" s="1">
        <v>80</v>
      </c>
      <c r="L83" t="s">
        <v>292</v>
      </c>
      <c r="M83" t="s">
        <v>293</v>
      </c>
      <c r="N83" t="s">
        <v>40</v>
      </c>
      <c r="O83" t="s">
        <v>41</v>
      </c>
      <c r="P83" t="s">
        <v>7</v>
      </c>
      <c r="Q83" s="1">
        <v>0</v>
      </c>
    </row>
    <row r="84" spans="1:17" x14ac:dyDescent="0.35">
      <c r="A84" s="1">
        <f>ROW()-ROW(DATABARANG!$A$3)</f>
        <v>81</v>
      </c>
      <c r="B84" t="s">
        <v>294</v>
      </c>
      <c r="C84" t="s">
        <v>295</v>
      </c>
      <c r="D84" t="s">
        <v>121</v>
      </c>
      <c r="E84" t="s">
        <v>41</v>
      </c>
      <c r="F84" t="s">
        <v>7</v>
      </c>
      <c r="G84" s="1">
        <v>0</v>
      </c>
      <c r="K84" s="1">
        <v>81</v>
      </c>
      <c r="L84" t="s">
        <v>294</v>
      </c>
      <c r="M84" t="s">
        <v>295</v>
      </c>
      <c r="N84" t="s">
        <v>121</v>
      </c>
      <c r="O84" t="s">
        <v>41</v>
      </c>
      <c r="P84" t="s">
        <v>7</v>
      </c>
      <c r="Q84" s="1">
        <v>0</v>
      </c>
    </row>
    <row r="85" spans="1:17" x14ac:dyDescent="0.35">
      <c r="A85" s="1">
        <f>ROW()-ROW(DATABARANG!$A$3)</f>
        <v>82</v>
      </c>
      <c r="B85" t="s">
        <v>305</v>
      </c>
      <c r="C85" t="s">
        <v>306</v>
      </c>
      <c r="D85" t="s">
        <v>151</v>
      </c>
      <c r="E85" t="s">
        <v>30</v>
      </c>
      <c r="F85" t="s">
        <v>7</v>
      </c>
      <c r="G85" s="1">
        <v>0</v>
      </c>
      <c r="K85" s="1">
        <v>82</v>
      </c>
      <c r="L85" t="s">
        <v>305</v>
      </c>
      <c r="M85" t="s">
        <v>306</v>
      </c>
      <c r="N85" t="s">
        <v>151</v>
      </c>
      <c r="O85" t="s">
        <v>30</v>
      </c>
      <c r="P85" t="s">
        <v>7</v>
      </c>
      <c r="Q85" s="1">
        <v>0</v>
      </c>
    </row>
    <row r="86" spans="1:17" x14ac:dyDescent="0.35">
      <c r="A86" s="1">
        <f>ROW()-ROW(DATABARANG!$A$3)</f>
        <v>83</v>
      </c>
      <c r="B86" t="s">
        <v>308</v>
      </c>
      <c r="C86" t="s">
        <v>309</v>
      </c>
      <c r="D86" t="s">
        <v>75</v>
      </c>
      <c r="E86" t="s">
        <v>35</v>
      </c>
      <c r="F86" t="s">
        <v>7</v>
      </c>
      <c r="G86" s="1">
        <v>5</v>
      </c>
      <c r="K86" s="1">
        <v>83</v>
      </c>
      <c r="L86" t="s">
        <v>308</v>
      </c>
      <c r="M86" t="s">
        <v>309</v>
      </c>
      <c r="N86" t="s">
        <v>75</v>
      </c>
      <c r="O86" t="s">
        <v>35</v>
      </c>
      <c r="P86" t="s">
        <v>7</v>
      </c>
      <c r="Q86" s="1">
        <v>5</v>
      </c>
    </row>
    <row r="87" spans="1:17" x14ac:dyDescent="0.35">
      <c r="A87" s="1">
        <f>ROW()-ROW(DATABARANG!$A$3)</f>
        <v>84</v>
      </c>
      <c r="B87" t="s">
        <v>310</v>
      </c>
      <c r="C87" t="s">
        <v>311</v>
      </c>
      <c r="D87" t="s">
        <v>75</v>
      </c>
      <c r="E87" t="s">
        <v>35</v>
      </c>
      <c r="F87" t="s">
        <v>7</v>
      </c>
      <c r="G87" s="1">
        <v>5</v>
      </c>
      <c r="K87" s="1">
        <v>84</v>
      </c>
      <c r="L87" t="s">
        <v>310</v>
      </c>
      <c r="M87" t="s">
        <v>311</v>
      </c>
      <c r="N87" t="s">
        <v>75</v>
      </c>
      <c r="O87" t="s">
        <v>35</v>
      </c>
      <c r="P87" t="s">
        <v>7</v>
      </c>
      <c r="Q87" s="1">
        <v>5</v>
      </c>
    </row>
    <row r="88" spans="1:17" x14ac:dyDescent="0.35">
      <c r="A88" s="1">
        <f>ROW()-ROW(DATABARANG!$A$3)</f>
        <v>85</v>
      </c>
      <c r="B88" t="s">
        <v>312</v>
      </c>
      <c r="C88" t="s">
        <v>313</v>
      </c>
      <c r="D88" t="s">
        <v>75</v>
      </c>
      <c r="E88" t="s">
        <v>35</v>
      </c>
      <c r="F88" t="s">
        <v>7</v>
      </c>
      <c r="G88" s="1">
        <v>5</v>
      </c>
      <c r="K88" s="1">
        <v>85</v>
      </c>
      <c r="L88" t="s">
        <v>312</v>
      </c>
      <c r="M88" t="s">
        <v>313</v>
      </c>
      <c r="N88" t="s">
        <v>75</v>
      </c>
      <c r="O88" t="s">
        <v>35</v>
      </c>
      <c r="P88" t="s">
        <v>7</v>
      </c>
      <c r="Q88" s="1">
        <v>5</v>
      </c>
    </row>
    <row r="89" spans="1:17" x14ac:dyDescent="0.35">
      <c r="A89" s="1">
        <f>ROW()-ROW(DATABARANG!$A$3)</f>
        <v>86</v>
      </c>
      <c r="B89" t="s">
        <v>314</v>
      </c>
      <c r="C89" t="s">
        <v>315</v>
      </c>
      <c r="D89" t="s">
        <v>75</v>
      </c>
      <c r="E89" t="s">
        <v>35</v>
      </c>
      <c r="F89" t="s">
        <v>7</v>
      </c>
      <c r="G89" s="1">
        <v>5</v>
      </c>
      <c r="K89" s="1">
        <v>86</v>
      </c>
      <c r="L89" t="s">
        <v>314</v>
      </c>
      <c r="M89" t="s">
        <v>315</v>
      </c>
      <c r="N89" t="s">
        <v>75</v>
      </c>
      <c r="O89" t="s">
        <v>35</v>
      </c>
      <c r="P89" t="s">
        <v>7</v>
      </c>
      <c r="Q89" s="1">
        <v>5</v>
      </c>
    </row>
    <row r="90" spans="1:17" x14ac:dyDescent="0.35">
      <c r="A90" s="1">
        <f>ROW()-ROW(DATABARANG!$A$3)</f>
        <v>87</v>
      </c>
      <c r="B90" t="s">
        <v>323</v>
      </c>
      <c r="C90" t="s">
        <v>324</v>
      </c>
      <c r="D90" t="s">
        <v>121</v>
      </c>
      <c r="E90" t="s">
        <v>30</v>
      </c>
      <c r="F90" t="s">
        <v>7</v>
      </c>
      <c r="G90" s="1">
        <v>3</v>
      </c>
      <c r="K90" s="1">
        <v>87</v>
      </c>
      <c r="L90" t="s">
        <v>323</v>
      </c>
      <c r="M90" t="s">
        <v>324</v>
      </c>
      <c r="N90" t="s">
        <v>121</v>
      </c>
      <c r="O90" t="s">
        <v>30</v>
      </c>
      <c r="P90" t="s">
        <v>7</v>
      </c>
      <c r="Q90" s="1">
        <v>3</v>
      </c>
    </row>
    <row r="91" spans="1:17" x14ac:dyDescent="0.35">
      <c r="A91" s="1">
        <f>ROW()-ROW(DATABARANG!$A$3)</f>
        <v>88</v>
      </c>
      <c r="B91" t="s">
        <v>327</v>
      </c>
      <c r="C91" t="s">
        <v>328</v>
      </c>
      <c r="D91" t="s">
        <v>151</v>
      </c>
      <c r="E91" t="s">
        <v>47</v>
      </c>
      <c r="F91" t="s">
        <v>7</v>
      </c>
      <c r="G91" s="1">
        <v>10</v>
      </c>
      <c r="K91" s="1">
        <v>88</v>
      </c>
      <c r="L91" t="s">
        <v>327</v>
      </c>
      <c r="M91" t="s">
        <v>328</v>
      </c>
      <c r="N91" t="s">
        <v>151</v>
      </c>
      <c r="O91" t="s">
        <v>47</v>
      </c>
      <c r="P91" t="s">
        <v>7</v>
      </c>
      <c r="Q91" s="1">
        <v>10</v>
      </c>
    </row>
    <row r="92" spans="1:17" x14ac:dyDescent="0.35">
      <c r="A92" s="1">
        <f>ROW()-ROW(DATABARANG!$A$3)</f>
        <v>89</v>
      </c>
      <c r="B92" t="s">
        <v>331</v>
      </c>
      <c r="C92" t="s">
        <v>505</v>
      </c>
      <c r="D92" t="s">
        <v>151</v>
      </c>
      <c r="E92" t="s">
        <v>506</v>
      </c>
      <c r="F92" t="s">
        <v>7</v>
      </c>
      <c r="G92" s="1">
        <v>0</v>
      </c>
      <c r="K92" s="1">
        <v>89</v>
      </c>
      <c r="L92" t="s">
        <v>331</v>
      </c>
      <c r="M92" t="s">
        <v>505</v>
      </c>
      <c r="N92" t="s">
        <v>151</v>
      </c>
      <c r="O92" t="s">
        <v>506</v>
      </c>
      <c r="P92" t="s">
        <v>7</v>
      </c>
      <c r="Q92" s="1">
        <v>0</v>
      </c>
    </row>
    <row r="93" spans="1:17" x14ac:dyDescent="0.35">
      <c r="A93" s="1">
        <f>ROW()-ROW(DATABARANG!$A$3)</f>
        <v>90</v>
      </c>
      <c r="B93" t="s">
        <v>335</v>
      </c>
      <c r="C93" t="s">
        <v>336</v>
      </c>
      <c r="D93" t="s">
        <v>77</v>
      </c>
      <c r="E93" t="s">
        <v>47</v>
      </c>
      <c r="F93" t="s">
        <v>7</v>
      </c>
      <c r="G93" s="1">
        <v>0</v>
      </c>
      <c r="K93" s="1">
        <v>90</v>
      </c>
      <c r="L93" t="s">
        <v>335</v>
      </c>
      <c r="M93" t="s">
        <v>336</v>
      </c>
      <c r="N93" t="s">
        <v>77</v>
      </c>
      <c r="O93" t="s">
        <v>47</v>
      </c>
      <c r="P93" t="s">
        <v>7</v>
      </c>
      <c r="Q93" s="1">
        <v>0</v>
      </c>
    </row>
    <row r="94" spans="1:17" x14ac:dyDescent="0.35">
      <c r="A94" s="1">
        <f>ROW()-ROW(DATABARANG!$A$3)</f>
        <v>91</v>
      </c>
      <c r="B94" t="s">
        <v>337</v>
      </c>
      <c r="C94" t="s">
        <v>338</v>
      </c>
      <c r="D94" t="s">
        <v>142</v>
      </c>
      <c r="E94" t="s">
        <v>30</v>
      </c>
      <c r="F94" t="s">
        <v>7</v>
      </c>
      <c r="G94" s="1">
        <v>0</v>
      </c>
      <c r="K94" s="1">
        <v>91</v>
      </c>
      <c r="L94" t="s">
        <v>337</v>
      </c>
      <c r="M94" t="s">
        <v>338</v>
      </c>
      <c r="N94" t="s">
        <v>142</v>
      </c>
      <c r="O94" t="s">
        <v>30</v>
      </c>
      <c r="P94" t="s">
        <v>7</v>
      </c>
      <c r="Q94" s="1">
        <v>0</v>
      </c>
    </row>
    <row r="95" spans="1:17" x14ac:dyDescent="0.35">
      <c r="A95" s="1">
        <f>ROW()-ROW(DATABARANG!$A$3)</f>
        <v>92</v>
      </c>
      <c r="B95" t="s">
        <v>339</v>
      </c>
      <c r="C95" t="s">
        <v>340</v>
      </c>
      <c r="D95" t="s">
        <v>77</v>
      </c>
      <c r="E95" t="s">
        <v>30</v>
      </c>
      <c r="F95" t="s">
        <v>7</v>
      </c>
      <c r="G95" s="1">
        <v>0</v>
      </c>
      <c r="K95" s="1">
        <v>92</v>
      </c>
      <c r="L95" t="s">
        <v>339</v>
      </c>
      <c r="M95" t="s">
        <v>340</v>
      </c>
      <c r="N95" t="s">
        <v>77</v>
      </c>
      <c r="O95" t="s">
        <v>30</v>
      </c>
      <c r="P95" t="s">
        <v>7</v>
      </c>
      <c r="Q95" s="1">
        <v>0</v>
      </c>
    </row>
    <row r="96" spans="1:17" x14ac:dyDescent="0.35">
      <c r="A96" s="1">
        <f>ROW()-ROW(DATABARANG!$A$3)</f>
        <v>93</v>
      </c>
      <c r="B96" t="s">
        <v>341</v>
      </c>
      <c r="C96" t="s">
        <v>1315</v>
      </c>
      <c r="D96" t="s">
        <v>142</v>
      </c>
      <c r="E96" t="s">
        <v>30</v>
      </c>
      <c r="F96" t="s">
        <v>7</v>
      </c>
      <c r="G96" s="1">
        <v>1</v>
      </c>
      <c r="K96" s="1">
        <v>93</v>
      </c>
      <c r="L96" t="s">
        <v>341</v>
      </c>
      <c r="M96" t="s">
        <v>1315</v>
      </c>
      <c r="N96" t="s">
        <v>142</v>
      </c>
      <c r="O96" t="s">
        <v>30</v>
      </c>
      <c r="P96" t="s">
        <v>7</v>
      </c>
      <c r="Q96" s="1">
        <v>1</v>
      </c>
    </row>
    <row r="97" spans="1:17" x14ac:dyDescent="0.35">
      <c r="A97" s="1">
        <f>ROW()-ROW(DATABARANG!$A$3)</f>
        <v>94</v>
      </c>
      <c r="B97" t="s">
        <v>343</v>
      </c>
      <c r="C97" t="s">
        <v>344</v>
      </c>
      <c r="D97" t="s">
        <v>76</v>
      </c>
      <c r="E97" t="s">
        <v>30</v>
      </c>
      <c r="F97" t="s">
        <v>7</v>
      </c>
      <c r="G97" s="1">
        <v>0</v>
      </c>
      <c r="K97" s="1">
        <v>94</v>
      </c>
      <c r="L97" t="s">
        <v>343</v>
      </c>
      <c r="M97" t="s">
        <v>344</v>
      </c>
      <c r="N97" t="s">
        <v>76</v>
      </c>
      <c r="O97" t="s">
        <v>30</v>
      </c>
      <c r="P97" t="s">
        <v>7</v>
      </c>
      <c r="Q97" s="1">
        <v>0</v>
      </c>
    </row>
    <row r="98" spans="1:17" x14ac:dyDescent="0.35">
      <c r="A98" s="1">
        <f>ROW()-ROW(DATABARANG!$A$3)</f>
        <v>95</v>
      </c>
      <c r="B98" t="s">
        <v>345</v>
      </c>
      <c r="C98" t="s">
        <v>346</v>
      </c>
      <c r="D98" t="s">
        <v>121</v>
      </c>
      <c r="E98" t="s">
        <v>106</v>
      </c>
      <c r="F98" t="s">
        <v>7</v>
      </c>
      <c r="G98" s="1">
        <v>0</v>
      </c>
      <c r="K98" s="1">
        <v>95</v>
      </c>
      <c r="L98" t="s">
        <v>345</v>
      </c>
      <c r="M98" t="s">
        <v>346</v>
      </c>
      <c r="N98" t="s">
        <v>121</v>
      </c>
      <c r="O98" t="s">
        <v>106</v>
      </c>
      <c r="P98" t="s">
        <v>7</v>
      </c>
      <c r="Q98" s="1">
        <v>0</v>
      </c>
    </row>
    <row r="99" spans="1:17" x14ac:dyDescent="0.35">
      <c r="A99" s="1">
        <f>ROW()-ROW(DATABARANG!$A$3)</f>
        <v>96</v>
      </c>
      <c r="B99" t="s">
        <v>347</v>
      </c>
      <c r="C99" t="s">
        <v>348</v>
      </c>
      <c r="D99" t="s">
        <v>121</v>
      </c>
      <c r="E99" t="s">
        <v>106</v>
      </c>
      <c r="F99" t="s">
        <v>7</v>
      </c>
      <c r="G99" s="1">
        <v>0</v>
      </c>
      <c r="K99" s="1">
        <v>96</v>
      </c>
      <c r="L99" t="s">
        <v>347</v>
      </c>
      <c r="M99" t="s">
        <v>348</v>
      </c>
      <c r="N99" t="s">
        <v>121</v>
      </c>
      <c r="O99" t="s">
        <v>106</v>
      </c>
      <c r="P99" t="s">
        <v>7</v>
      </c>
      <c r="Q99" s="1">
        <v>0</v>
      </c>
    </row>
    <row r="100" spans="1:17" x14ac:dyDescent="0.35">
      <c r="A100" s="1">
        <f>ROW()-ROW(DATABARANG!$A$3)</f>
        <v>97</v>
      </c>
      <c r="B100" t="s">
        <v>349</v>
      </c>
      <c r="C100" t="s">
        <v>350</v>
      </c>
      <c r="D100" t="s">
        <v>121</v>
      </c>
      <c r="E100" t="s">
        <v>106</v>
      </c>
      <c r="F100" t="s">
        <v>7</v>
      </c>
      <c r="G100" s="1">
        <v>0</v>
      </c>
      <c r="K100" s="1">
        <v>97</v>
      </c>
      <c r="L100" t="s">
        <v>349</v>
      </c>
      <c r="M100" t="s">
        <v>350</v>
      </c>
      <c r="N100" t="s">
        <v>121</v>
      </c>
      <c r="O100" t="s">
        <v>106</v>
      </c>
      <c r="P100" t="s">
        <v>7</v>
      </c>
      <c r="Q100" s="1">
        <v>0</v>
      </c>
    </row>
    <row r="101" spans="1:17" x14ac:dyDescent="0.35">
      <c r="A101" s="1">
        <f>ROW()-ROW(DATABARANG!$A$3)</f>
        <v>98</v>
      </c>
      <c r="B101" t="s">
        <v>351</v>
      </c>
      <c r="C101" t="s">
        <v>352</v>
      </c>
      <c r="D101" t="s">
        <v>76</v>
      </c>
      <c r="E101" t="s">
        <v>30</v>
      </c>
      <c r="F101" t="s">
        <v>7</v>
      </c>
      <c r="G101" s="1">
        <v>3</v>
      </c>
      <c r="K101" s="1">
        <v>98</v>
      </c>
      <c r="L101" t="s">
        <v>351</v>
      </c>
      <c r="M101" t="s">
        <v>352</v>
      </c>
      <c r="N101" t="s">
        <v>76</v>
      </c>
      <c r="O101" t="s">
        <v>30</v>
      </c>
      <c r="P101" t="s">
        <v>7</v>
      </c>
      <c r="Q101" s="1">
        <v>3</v>
      </c>
    </row>
    <row r="102" spans="1:17" x14ac:dyDescent="0.35">
      <c r="A102" s="1">
        <f>ROW()-ROW(DATABARANG!$A$3)</f>
        <v>99</v>
      </c>
      <c r="B102" t="s">
        <v>353</v>
      </c>
      <c r="C102" t="s">
        <v>758</v>
      </c>
      <c r="D102" t="s">
        <v>76</v>
      </c>
      <c r="E102" t="s">
        <v>30</v>
      </c>
      <c r="F102" t="s">
        <v>7</v>
      </c>
      <c r="G102" s="1">
        <v>1</v>
      </c>
      <c r="K102" s="1">
        <v>99</v>
      </c>
      <c r="L102" t="s">
        <v>353</v>
      </c>
      <c r="M102" t="s">
        <v>758</v>
      </c>
      <c r="N102" t="s">
        <v>76</v>
      </c>
      <c r="O102" t="s">
        <v>30</v>
      </c>
      <c r="P102" t="s">
        <v>7</v>
      </c>
      <c r="Q102" s="1">
        <v>1</v>
      </c>
    </row>
    <row r="103" spans="1:17" x14ac:dyDescent="0.35">
      <c r="A103" s="1">
        <f>ROW()-ROW(DATABARANG!$A$3)</f>
        <v>100</v>
      </c>
      <c r="B103" t="s">
        <v>366</v>
      </c>
      <c r="C103" t="s">
        <v>367</v>
      </c>
      <c r="D103" t="s">
        <v>89</v>
      </c>
      <c r="E103" t="s">
        <v>47</v>
      </c>
      <c r="F103" t="s">
        <v>7</v>
      </c>
      <c r="G103" s="1">
        <v>0</v>
      </c>
      <c r="K103" s="1">
        <v>100</v>
      </c>
      <c r="L103" t="s">
        <v>366</v>
      </c>
      <c r="M103" t="s">
        <v>367</v>
      </c>
      <c r="N103" t="s">
        <v>89</v>
      </c>
      <c r="O103" t="s">
        <v>47</v>
      </c>
      <c r="P103" t="s">
        <v>7</v>
      </c>
      <c r="Q103" s="1">
        <v>0</v>
      </c>
    </row>
    <row r="104" spans="1:17" x14ac:dyDescent="0.35">
      <c r="A104" s="1">
        <f>ROW()-ROW(DATABARANG!$A$3)</f>
        <v>101</v>
      </c>
      <c r="B104" t="s">
        <v>377</v>
      </c>
      <c r="C104" t="s">
        <v>378</v>
      </c>
      <c r="D104" t="s">
        <v>379</v>
      </c>
      <c r="E104" t="s">
        <v>30</v>
      </c>
      <c r="F104" t="s">
        <v>7</v>
      </c>
      <c r="G104" s="1">
        <v>0</v>
      </c>
      <c r="K104" s="1">
        <v>101</v>
      </c>
      <c r="L104" t="s">
        <v>377</v>
      </c>
      <c r="M104" t="s">
        <v>378</v>
      </c>
      <c r="N104" t="s">
        <v>379</v>
      </c>
      <c r="O104" t="s">
        <v>30</v>
      </c>
      <c r="P104" t="s">
        <v>7</v>
      </c>
      <c r="Q104" s="1">
        <v>0</v>
      </c>
    </row>
    <row r="105" spans="1:17" x14ac:dyDescent="0.35">
      <c r="A105" s="1">
        <f>ROW()-ROW(DATABARANG!$A$3)</f>
        <v>102</v>
      </c>
      <c r="B105" t="s">
        <v>394</v>
      </c>
      <c r="C105" t="s">
        <v>395</v>
      </c>
      <c r="D105" t="s">
        <v>142</v>
      </c>
      <c r="E105" t="s">
        <v>106</v>
      </c>
      <c r="F105" t="s">
        <v>7</v>
      </c>
      <c r="G105" s="1">
        <v>1</v>
      </c>
      <c r="K105" s="1">
        <v>102</v>
      </c>
      <c r="L105" t="s">
        <v>394</v>
      </c>
      <c r="M105" t="s">
        <v>395</v>
      </c>
      <c r="N105" t="s">
        <v>142</v>
      </c>
      <c r="O105" t="s">
        <v>106</v>
      </c>
      <c r="P105" t="s">
        <v>7</v>
      </c>
      <c r="Q105" s="1">
        <v>1</v>
      </c>
    </row>
    <row r="106" spans="1:17" x14ac:dyDescent="0.35">
      <c r="A106" s="1">
        <f>ROW()-ROW(DATABARANG!$A$3)</f>
        <v>103</v>
      </c>
      <c r="B106" t="s">
        <v>396</v>
      </c>
      <c r="C106" t="s">
        <v>397</v>
      </c>
      <c r="D106" t="s">
        <v>89</v>
      </c>
      <c r="E106" t="s">
        <v>47</v>
      </c>
      <c r="F106" t="s">
        <v>7</v>
      </c>
      <c r="G106" s="1">
        <v>0</v>
      </c>
      <c r="K106" s="1">
        <v>103</v>
      </c>
      <c r="L106" t="s">
        <v>396</v>
      </c>
      <c r="M106" t="s">
        <v>397</v>
      </c>
      <c r="N106" t="s">
        <v>89</v>
      </c>
      <c r="O106" t="s">
        <v>47</v>
      </c>
      <c r="P106" t="s">
        <v>7</v>
      </c>
      <c r="Q106" s="1">
        <v>0</v>
      </c>
    </row>
    <row r="107" spans="1:17" x14ac:dyDescent="0.35">
      <c r="A107" s="1">
        <f>ROW()-ROW(DATABARANG!$A$3)</f>
        <v>104</v>
      </c>
      <c r="B107" t="s">
        <v>398</v>
      </c>
      <c r="C107" t="s">
        <v>399</v>
      </c>
      <c r="D107" t="s">
        <v>142</v>
      </c>
      <c r="E107" t="s">
        <v>30</v>
      </c>
      <c r="F107" t="s">
        <v>7</v>
      </c>
      <c r="G107" s="1">
        <v>23</v>
      </c>
      <c r="K107" s="1">
        <v>104</v>
      </c>
      <c r="L107" t="s">
        <v>398</v>
      </c>
      <c r="M107" t="s">
        <v>399</v>
      </c>
      <c r="N107" t="s">
        <v>142</v>
      </c>
      <c r="O107" t="s">
        <v>30</v>
      </c>
      <c r="P107" t="s">
        <v>7</v>
      </c>
      <c r="Q107" s="1">
        <v>23</v>
      </c>
    </row>
    <row r="108" spans="1:17" x14ac:dyDescent="0.35">
      <c r="A108" s="1">
        <f>ROW()-ROW(DATABARANG!$A$3)</f>
        <v>105</v>
      </c>
      <c r="B108" t="s">
        <v>400</v>
      </c>
      <c r="C108" t="s">
        <v>401</v>
      </c>
      <c r="D108" t="s">
        <v>142</v>
      </c>
      <c r="E108" t="s">
        <v>30</v>
      </c>
      <c r="F108" t="s">
        <v>7</v>
      </c>
      <c r="G108" s="1">
        <v>12</v>
      </c>
      <c r="K108" s="1">
        <v>105</v>
      </c>
      <c r="L108" t="s">
        <v>400</v>
      </c>
      <c r="M108" t="s">
        <v>401</v>
      </c>
      <c r="N108" t="s">
        <v>142</v>
      </c>
      <c r="O108" t="s">
        <v>30</v>
      </c>
      <c r="P108" t="s">
        <v>7</v>
      </c>
      <c r="Q108" s="1">
        <v>12</v>
      </c>
    </row>
    <row r="109" spans="1:17" x14ac:dyDescent="0.35">
      <c r="A109" s="1">
        <f>ROW()-ROW(DATABARANG!$A$3)</f>
        <v>106</v>
      </c>
      <c r="B109" t="s">
        <v>402</v>
      </c>
      <c r="C109" t="s">
        <v>403</v>
      </c>
      <c r="D109" t="s">
        <v>89</v>
      </c>
      <c r="E109" t="s">
        <v>41</v>
      </c>
      <c r="F109" t="s">
        <v>7</v>
      </c>
      <c r="G109" s="1">
        <v>12</v>
      </c>
      <c r="K109" s="1">
        <v>106</v>
      </c>
      <c r="L109" t="s">
        <v>402</v>
      </c>
      <c r="M109" t="s">
        <v>403</v>
      </c>
      <c r="N109" t="s">
        <v>89</v>
      </c>
      <c r="O109" t="s">
        <v>41</v>
      </c>
      <c r="P109" t="s">
        <v>7</v>
      </c>
      <c r="Q109" s="1">
        <v>12</v>
      </c>
    </row>
    <row r="110" spans="1:17" x14ac:dyDescent="0.35">
      <c r="A110" s="1">
        <f>ROW()-ROW(DATABARANG!$A$3)</f>
        <v>107</v>
      </c>
      <c r="B110" t="s">
        <v>410</v>
      </c>
      <c r="C110" t="s">
        <v>411</v>
      </c>
      <c r="D110" t="s">
        <v>151</v>
      </c>
      <c r="E110" t="s">
        <v>30</v>
      </c>
      <c r="F110" t="s">
        <v>7</v>
      </c>
      <c r="G110" s="1">
        <v>0</v>
      </c>
      <c r="K110" s="1">
        <v>107</v>
      </c>
      <c r="L110" t="s">
        <v>410</v>
      </c>
      <c r="M110" t="s">
        <v>411</v>
      </c>
      <c r="N110" t="s">
        <v>151</v>
      </c>
      <c r="O110" t="s">
        <v>30</v>
      </c>
      <c r="P110" t="s">
        <v>7</v>
      </c>
      <c r="Q110" s="1">
        <v>0</v>
      </c>
    </row>
    <row r="111" spans="1:17" x14ac:dyDescent="0.35">
      <c r="A111" s="1">
        <f>ROW()-ROW(DATABARANG!$A$3)</f>
        <v>108</v>
      </c>
      <c r="B111" t="s">
        <v>421</v>
      </c>
      <c r="C111" t="s">
        <v>422</v>
      </c>
      <c r="D111" t="s">
        <v>89</v>
      </c>
      <c r="E111" t="s">
        <v>106</v>
      </c>
      <c r="F111" t="s">
        <v>7</v>
      </c>
      <c r="G111" s="1">
        <v>2</v>
      </c>
      <c r="K111" s="1">
        <v>108</v>
      </c>
      <c r="L111" t="s">
        <v>421</v>
      </c>
      <c r="M111" t="s">
        <v>422</v>
      </c>
      <c r="N111" t="s">
        <v>89</v>
      </c>
      <c r="O111" t="s">
        <v>106</v>
      </c>
      <c r="P111" t="s">
        <v>7</v>
      </c>
      <c r="Q111" s="1">
        <v>2</v>
      </c>
    </row>
    <row r="112" spans="1:17" x14ac:dyDescent="0.35">
      <c r="A112" s="1">
        <f>ROW()-ROW(DATABARANG!$A$3)</f>
        <v>109</v>
      </c>
      <c r="B112" t="s">
        <v>423</v>
      </c>
      <c r="C112" t="s">
        <v>424</v>
      </c>
      <c r="D112" t="s">
        <v>121</v>
      </c>
      <c r="E112" t="s">
        <v>304</v>
      </c>
      <c r="F112" t="s">
        <v>7</v>
      </c>
      <c r="G112" s="1">
        <v>2</v>
      </c>
      <c r="K112" s="1">
        <v>109</v>
      </c>
      <c r="L112" t="s">
        <v>423</v>
      </c>
      <c r="M112" t="s">
        <v>424</v>
      </c>
      <c r="N112" t="s">
        <v>121</v>
      </c>
      <c r="O112" t="s">
        <v>304</v>
      </c>
      <c r="P112" t="s">
        <v>7</v>
      </c>
      <c r="Q112" s="1">
        <v>2</v>
      </c>
    </row>
    <row r="113" spans="1:17" x14ac:dyDescent="0.35">
      <c r="A113" s="1">
        <f>ROW()-ROW(DATABARANG!$A$3)</f>
        <v>110</v>
      </c>
      <c r="B113" t="s">
        <v>425</v>
      </c>
      <c r="C113" t="s">
        <v>426</v>
      </c>
      <c r="D113" t="s">
        <v>121</v>
      </c>
      <c r="E113" t="s">
        <v>304</v>
      </c>
      <c r="F113" t="s">
        <v>7</v>
      </c>
      <c r="G113" s="1">
        <v>1</v>
      </c>
      <c r="K113" s="1">
        <v>110</v>
      </c>
      <c r="L113" t="s">
        <v>425</v>
      </c>
      <c r="M113" t="s">
        <v>426</v>
      </c>
      <c r="N113" t="s">
        <v>121</v>
      </c>
      <c r="O113" t="s">
        <v>304</v>
      </c>
      <c r="P113" t="s">
        <v>7</v>
      </c>
      <c r="Q113" s="1">
        <v>1</v>
      </c>
    </row>
    <row r="114" spans="1:17" x14ac:dyDescent="0.35">
      <c r="A114" s="1">
        <f>ROW()-ROW(DATABARANG!$A$3)</f>
        <v>111</v>
      </c>
      <c r="B114" t="s">
        <v>427</v>
      </c>
      <c r="C114" t="s">
        <v>428</v>
      </c>
      <c r="D114" t="s">
        <v>142</v>
      </c>
      <c r="E114" t="s">
        <v>30</v>
      </c>
      <c r="F114" t="s">
        <v>7</v>
      </c>
      <c r="G114" s="1">
        <v>0</v>
      </c>
      <c r="K114" s="1">
        <v>111</v>
      </c>
      <c r="L114" t="s">
        <v>427</v>
      </c>
      <c r="M114" t="s">
        <v>428</v>
      </c>
      <c r="N114" t="s">
        <v>142</v>
      </c>
      <c r="O114" t="s">
        <v>30</v>
      </c>
      <c r="P114" t="s">
        <v>7</v>
      </c>
      <c r="Q114" s="1">
        <v>0</v>
      </c>
    </row>
    <row r="115" spans="1:17" x14ac:dyDescent="0.35">
      <c r="A115" s="1">
        <f>ROW()-ROW(DATABARANG!$A$3)</f>
        <v>112</v>
      </c>
      <c r="B115" t="s">
        <v>429</v>
      </c>
      <c r="C115" t="s">
        <v>430</v>
      </c>
      <c r="D115" t="s">
        <v>142</v>
      </c>
      <c r="E115" t="s">
        <v>30</v>
      </c>
      <c r="F115" t="s">
        <v>7</v>
      </c>
      <c r="G115" s="1">
        <v>0</v>
      </c>
      <c r="K115" s="1">
        <v>112</v>
      </c>
      <c r="L115" t="s">
        <v>429</v>
      </c>
      <c r="M115" t="s">
        <v>430</v>
      </c>
      <c r="N115" t="s">
        <v>142</v>
      </c>
      <c r="O115" t="s">
        <v>30</v>
      </c>
      <c r="P115" t="s">
        <v>7</v>
      </c>
      <c r="Q115" s="1">
        <v>0</v>
      </c>
    </row>
    <row r="116" spans="1:17" x14ac:dyDescent="0.35">
      <c r="A116" s="1">
        <f>ROW()-ROW(DATABARANG!$A$3)</f>
        <v>113</v>
      </c>
      <c r="B116" t="s">
        <v>431</v>
      </c>
      <c r="C116" t="s">
        <v>432</v>
      </c>
      <c r="D116" t="s">
        <v>142</v>
      </c>
      <c r="E116" t="s">
        <v>30</v>
      </c>
      <c r="F116" t="s">
        <v>7</v>
      </c>
      <c r="G116" s="1">
        <v>0</v>
      </c>
      <c r="K116" s="1">
        <v>113</v>
      </c>
      <c r="L116" t="s">
        <v>431</v>
      </c>
      <c r="M116" t="s">
        <v>432</v>
      </c>
      <c r="N116" t="s">
        <v>142</v>
      </c>
      <c r="O116" t="s">
        <v>30</v>
      </c>
      <c r="P116" t="s">
        <v>7</v>
      </c>
      <c r="Q116" s="1">
        <v>0</v>
      </c>
    </row>
    <row r="117" spans="1:17" x14ac:dyDescent="0.35">
      <c r="A117" s="1">
        <f>ROW()-ROW(DATABARANG!$A$3)</f>
        <v>114</v>
      </c>
      <c r="B117" t="s">
        <v>433</v>
      </c>
      <c r="C117" t="s">
        <v>434</v>
      </c>
      <c r="D117" t="s">
        <v>109</v>
      </c>
      <c r="E117" t="s">
        <v>435</v>
      </c>
      <c r="F117" t="s">
        <v>7</v>
      </c>
      <c r="G117" s="1">
        <v>0</v>
      </c>
      <c r="K117" s="1">
        <v>114</v>
      </c>
      <c r="L117" t="s">
        <v>433</v>
      </c>
      <c r="M117" t="s">
        <v>434</v>
      </c>
      <c r="N117" t="s">
        <v>109</v>
      </c>
      <c r="O117" t="s">
        <v>435</v>
      </c>
      <c r="P117" t="s">
        <v>7</v>
      </c>
      <c r="Q117" s="1">
        <v>0</v>
      </c>
    </row>
    <row r="118" spans="1:17" x14ac:dyDescent="0.35">
      <c r="A118" s="1">
        <f>ROW()-ROW(DATABARANG!$A$3)</f>
        <v>115</v>
      </c>
      <c r="B118" t="s">
        <v>436</v>
      </c>
      <c r="C118" t="s">
        <v>437</v>
      </c>
      <c r="D118" t="s">
        <v>112</v>
      </c>
      <c r="E118" t="s">
        <v>41</v>
      </c>
      <c r="F118" t="s">
        <v>7</v>
      </c>
      <c r="G118" s="1">
        <v>1</v>
      </c>
      <c r="K118" s="1">
        <v>115</v>
      </c>
      <c r="L118" t="s">
        <v>436</v>
      </c>
      <c r="M118" t="s">
        <v>437</v>
      </c>
      <c r="N118" t="s">
        <v>112</v>
      </c>
      <c r="O118" t="s">
        <v>41</v>
      </c>
      <c r="P118" t="s">
        <v>7</v>
      </c>
      <c r="Q118" s="1">
        <v>1</v>
      </c>
    </row>
    <row r="119" spans="1:17" x14ac:dyDescent="0.35">
      <c r="A119" s="1">
        <f>ROW()-ROW(DATABARANG!$A$3)</f>
        <v>116</v>
      </c>
      <c r="B119" t="s">
        <v>438</v>
      </c>
      <c r="C119" t="s">
        <v>439</v>
      </c>
      <c r="D119" t="s">
        <v>112</v>
      </c>
      <c r="E119" t="s">
        <v>41</v>
      </c>
      <c r="F119" t="s">
        <v>7</v>
      </c>
      <c r="G119" s="1">
        <v>1</v>
      </c>
      <c r="K119" s="1">
        <v>116</v>
      </c>
      <c r="L119" t="s">
        <v>438</v>
      </c>
      <c r="M119" t="s">
        <v>439</v>
      </c>
      <c r="N119" t="s">
        <v>112</v>
      </c>
      <c r="O119" t="s">
        <v>41</v>
      </c>
      <c r="P119" t="s">
        <v>7</v>
      </c>
      <c r="Q119" s="1">
        <v>1</v>
      </c>
    </row>
    <row r="120" spans="1:17" x14ac:dyDescent="0.35">
      <c r="A120" s="1">
        <f>ROW()-ROW(DATABARANG!$A$3)</f>
        <v>117</v>
      </c>
      <c r="B120" t="s">
        <v>440</v>
      </c>
      <c r="C120" t="s">
        <v>441</v>
      </c>
      <c r="D120" t="s">
        <v>112</v>
      </c>
      <c r="E120" t="s">
        <v>41</v>
      </c>
      <c r="F120" t="s">
        <v>7</v>
      </c>
      <c r="G120" s="1">
        <v>4</v>
      </c>
      <c r="K120" s="1">
        <v>117</v>
      </c>
      <c r="L120" t="s">
        <v>440</v>
      </c>
      <c r="M120" t="s">
        <v>441</v>
      </c>
      <c r="N120" t="s">
        <v>112</v>
      </c>
      <c r="O120" t="s">
        <v>41</v>
      </c>
      <c r="P120" t="s">
        <v>7</v>
      </c>
      <c r="Q120" s="1">
        <v>4</v>
      </c>
    </row>
    <row r="121" spans="1:17" x14ac:dyDescent="0.35">
      <c r="A121" s="1">
        <f>ROW()-ROW(DATABARANG!$A$3)</f>
        <v>118</v>
      </c>
      <c r="B121" t="s">
        <v>442</v>
      </c>
      <c r="C121" t="s">
        <v>443</v>
      </c>
      <c r="D121" t="s">
        <v>112</v>
      </c>
      <c r="E121" t="s">
        <v>41</v>
      </c>
      <c r="F121" t="s">
        <v>7</v>
      </c>
      <c r="G121" s="1">
        <v>3</v>
      </c>
      <c r="K121" s="1">
        <v>118</v>
      </c>
      <c r="L121" t="s">
        <v>442</v>
      </c>
      <c r="M121" t="s">
        <v>443</v>
      </c>
      <c r="N121" t="s">
        <v>112</v>
      </c>
      <c r="O121" t="s">
        <v>41</v>
      </c>
      <c r="P121" t="s">
        <v>7</v>
      </c>
      <c r="Q121" s="1">
        <v>3</v>
      </c>
    </row>
    <row r="122" spans="1:17" x14ac:dyDescent="0.35">
      <c r="A122" s="1">
        <f>ROW()-ROW(DATABARANG!$A$3)</f>
        <v>119</v>
      </c>
      <c r="B122" t="s">
        <v>444</v>
      </c>
      <c r="C122" t="s">
        <v>1328</v>
      </c>
      <c r="D122" t="s">
        <v>112</v>
      </c>
      <c r="E122" t="s">
        <v>106</v>
      </c>
      <c r="F122" t="s">
        <v>7</v>
      </c>
      <c r="G122" s="1">
        <v>2</v>
      </c>
      <c r="K122" s="1">
        <v>119</v>
      </c>
      <c r="L122" t="s">
        <v>444</v>
      </c>
      <c r="M122" t="s">
        <v>1328</v>
      </c>
      <c r="N122" t="s">
        <v>112</v>
      </c>
      <c r="O122" t="s">
        <v>106</v>
      </c>
      <c r="P122" t="s">
        <v>7</v>
      </c>
      <c r="Q122" s="1">
        <v>2</v>
      </c>
    </row>
    <row r="123" spans="1:17" x14ac:dyDescent="0.35">
      <c r="A123" s="1">
        <f>ROW()-ROW(DATABARANG!$A$3)</f>
        <v>120</v>
      </c>
      <c r="B123" t="s">
        <v>446</v>
      </c>
      <c r="C123" t="s">
        <v>447</v>
      </c>
      <c r="D123" t="s">
        <v>112</v>
      </c>
      <c r="E123" t="s">
        <v>106</v>
      </c>
      <c r="F123" t="s">
        <v>7</v>
      </c>
      <c r="G123" s="1">
        <v>0</v>
      </c>
      <c r="K123" s="1">
        <v>120</v>
      </c>
      <c r="L123" t="s">
        <v>446</v>
      </c>
      <c r="M123" t="s">
        <v>447</v>
      </c>
      <c r="N123" t="s">
        <v>112</v>
      </c>
      <c r="O123" t="s">
        <v>106</v>
      </c>
      <c r="P123" t="s">
        <v>7</v>
      </c>
      <c r="Q123" s="1">
        <v>0</v>
      </c>
    </row>
    <row r="124" spans="1:17" x14ac:dyDescent="0.35">
      <c r="A124" s="1">
        <f>ROW()-ROW(DATABARANG!$A$3)</f>
        <v>121</v>
      </c>
      <c r="B124" t="s">
        <v>448</v>
      </c>
      <c r="C124" t="s">
        <v>449</v>
      </c>
      <c r="D124" t="s">
        <v>94</v>
      </c>
      <c r="E124" t="s">
        <v>41</v>
      </c>
      <c r="F124" t="s">
        <v>7</v>
      </c>
      <c r="G124" s="1">
        <v>0</v>
      </c>
      <c r="K124" s="1">
        <v>121</v>
      </c>
      <c r="L124" t="s">
        <v>448</v>
      </c>
      <c r="M124" t="s">
        <v>449</v>
      </c>
      <c r="N124" t="s">
        <v>94</v>
      </c>
      <c r="O124" t="s">
        <v>41</v>
      </c>
      <c r="P124" t="s">
        <v>7</v>
      </c>
      <c r="Q124" s="1">
        <v>0</v>
      </c>
    </row>
    <row r="125" spans="1:17" x14ac:dyDescent="0.35">
      <c r="A125" s="1">
        <f>ROW()-ROW(DATABARANG!$A$3)</f>
        <v>122</v>
      </c>
      <c r="B125" t="s">
        <v>450</v>
      </c>
      <c r="C125" t="s">
        <v>451</v>
      </c>
      <c r="D125" t="s">
        <v>94</v>
      </c>
      <c r="E125" t="s">
        <v>41</v>
      </c>
      <c r="F125" t="s">
        <v>7</v>
      </c>
      <c r="G125" s="1">
        <v>0</v>
      </c>
      <c r="K125" s="1">
        <v>122</v>
      </c>
      <c r="L125" t="s">
        <v>450</v>
      </c>
      <c r="M125" t="s">
        <v>451</v>
      </c>
      <c r="N125" t="s">
        <v>94</v>
      </c>
      <c r="O125" t="s">
        <v>41</v>
      </c>
      <c r="P125" t="s">
        <v>7</v>
      </c>
      <c r="Q125" s="1">
        <v>0</v>
      </c>
    </row>
    <row r="126" spans="1:17" x14ac:dyDescent="0.35">
      <c r="A126" s="1">
        <f>ROW()-ROW(DATABARANG!$A$3)</f>
        <v>123</v>
      </c>
      <c r="B126" t="s">
        <v>452</v>
      </c>
      <c r="C126" t="s">
        <v>453</v>
      </c>
      <c r="D126" t="s">
        <v>142</v>
      </c>
      <c r="E126" t="s">
        <v>106</v>
      </c>
      <c r="F126" t="s">
        <v>7</v>
      </c>
      <c r="G126" s="1">
        <v>0</v>
      </c>
      <c r="K126" s="1">
        <v>123</v>
      </c>
      <c r="L126" t="s">
        <v>452</v>
      </c>
      <c r="M126" t="s">
        <v>453</v>
      </c>
      <c r="N126" t="s">
        <v>142</v>
      </c>
      <c r="O126" t="s">
        <v>106</v>
      </c>
      <c r="P126" t="s">
        <v>7</v>
      </c>
      <c r="Q126" s="1">
        <v>0</v>
      </c>
    </row>
    <row r="127" spans="1:17" x14ac:dyDescent="0.35">
      <c r="A127" s="1">
        <f>ROW()-ROW(DATABARANG!$A$3)</f>
        <v>124</v>
      </c>
      <c r="B127" t="s">
        <v>454</v>
      </c>
      <c r="C127" t="s">
        <v>455</v>
      </c>
      <c r="D127" t="s">
        <v>142</v>
      </c>
      <c r="E127" t="s">
        <v>106</v>
      </c>
      <c r="F127" t="s">
        <v>7</v>
      </c>
      <c r="G127" s="1">
        <v>0</v>
      </c>
      <c r="K127" s="1">
        <v>124</v>
      </c>
      <c r="L127" t="s">
        <v>454</v>
      </c>
      <c r="M127" t="s">
        <v>455</v>
      </c>
      <c r="N127" t="s">
        <v>142</v>
      </c>
      <c r="O127" t="s">
        <v>106</v>
      </c>
      <c r="P127" t="s">
        <v>7</v>
      </c>
      <c r="Q127" s="1">
        <v>0</v>
      </c>
    </row>
    <row r="128" spans="1:17" x14ac:dyDescent="0.35">
      <c r="A128" s="1">
        <f>ROW()-ROW(DATABARANG!$A$3)</f>
        <v>125</v>
      </c>
      <c r="B128" t="s">
        <v>456</v>
      </c>
      <c r="C128" t="s">
        <v>457</v>
      </c>
      <c r="D128" t="s">
        <v>142</v>
      </c>
      <c r="E128" t="s">
        <v>106</v>
      </c>
      <c r="F128" t="s">
        <v>7</v>
      </c>
      <c r="G128" s="1">
        <v>0</v>
      </c>
      <c r="K128" s="1">
        <v>125</v>
      </c>
      <c r="L128" t="s">
        <v>456</v>
      </c>
      <c r="M128" t="s">
        <v>457</v>
      </c>
      <c r="N128" t="s">
        <v>142</v>
      </c>
      <c r="O128" t="s">
        <v>106</v>
      </c>
      <c r="P128" t="s">
        <v>7</v>
      </c>
      <c r="Q128" s="1">
        <v>0</v>
      </c>
    </row>
    <row r="129" spans="1:17" x14ac:dyDescent="0.35">
      <c r="A129" s="1">
        <f>ROW()-ROW(DATABARANG!$A$3)</f>
        <v>126</v>
      </c>
      <c r="B129" t="s">
        <v>458</v>
      </c>
      <c r="C129" t="s">
        <v>459</v>
      </c>
      <c r="D129" t="s">
        <v>118</v>
      </c>
      <c r="E129" t="s">
        <v>30</v>
      </c>
      <c r="F129" t="s">
        <v>7</v>
      </c>
      <c r="G129" s="1">
        <v>0</v>
      </c>
      <c r="K129" s="1">
        <v>126</v>
      </c>
      <c r="L129" t="s">
        <v>458</v>
      </c>
      <c r="M129" t="s">
        <v>459</v>
      </c>
      <c r="N129" t="s">
        <v>118</v>
      </c>
      <c r="O129" t="s">
        <v>30</v>
      </c>
      <c r="P129" t="s">
        <v>7</v>
      </c>
      <c r="Q129" s="1">
        <v>0</v>
      </c>
    </row>
    <row r="130" spans="1:17" x14ac:dyDescent="0.35">
      <c r="A130" s="1">
        <f>ROW()-ROW(DATABARANG!$A$3)</f>
        <v>127</v>
      </c>
      <c r="B130" t="s">
        <v>460</v>
      </c>
      <c r="C130" t="s">
        <v>463</v>
      </c>
      <c r="D130" t="s">
        <v>142</v>
      </c>
      <c r="E130" t="s">
        <v>30</v>
      </c>
      <c r="F130" t="s">
        <v>7</v>
      </c>
      <c r="G130" s="1">
        <v>1</v>
      </c>
      <c r="K130" s="1">
        <v>127</v>
      </c>
      <c r="L130" t="s">
        <v>460</v>
      </c>
      <c r="M130" t="s">
        <v>463</v>
      </c>
      <c r="N130" t="s">
        <v>142</v>
      </c>
      <c r="O130" t="s">
        <v>30</v>
      </c>
      <c r="P130" t="s">
        <v>7</v>
      </c>
      <c r="Q130" s="1">
        <v>1</v>
      </c>
    </row>
    <row r="131" spans="1:17" x14ac:dyDescent="0.35">
      <c r="A131" s="1">
        <f>ROW()-ROW(DATABARANG!$A$3)</f>
        <v>128</v>
      </c>
      <c r="B131" t="s">
        <v>461</v>
      </c>
      <c r="C131" t="s">
        <v>462</v>
      </c>
      <c r="D131" t="s">
        <v>142</v>
      </c>
      <c r="E131" t="s">
        <v>30</v>
      </c>
      <c r="F131" t="s">
        <v>7</v>
      </c>
      <c r="G131" s="1">
        <v>0</v>
      </c>
      <c r="K131" s="1">
        <v>128</v>
      </c>
      <c r="L131" t="s">
        <v>461</v>
      </c>
      <c r="M131" t="s">
        <v>462</v>
      </c>
      <c r="N131" t="s">
        <v>142</v>
      </c>
      <c r="O131" t="s">
        <v>30</v>
      </c>
      <c r="P131" t="s">
        <v>7</v>
      </c>
      <c r="Q131" s="1">
        <v>0</v>
      </c>
    </row>
    <row r="132" spans="1:17" x14ac:dyDescent="0.35">
      <c r="A132" s="1">
        <f>ROW()-ROW(DATABARANG!$A$3)</f>
        <v>129</v>
      </c>
      <c r="B132" t="s">
        <v>464</v>
      </c>
      <c r="C132" t="s">
        <v>465</v>
      </c>
      <c r="D132" t="s">
        <v>121</v>
      </c>
      <c r="E132" t="s">
        <v>30</v>
      </c>
      <c r="F132" t="s">
        <v>7</v>
      </c>
      <c r="G132" s="1">
        <v>1</v>
      </c>
      <c r="K132" s="1">
        <v>129</v>
      </c>
      <c r="L132" t="s">
        <v>464</v>
      </c>
      <c r="M132" t="s">
        <v>465</v>
      </c>
      <c r="N132" t="s">
        <v>121</v>
      </c>
      <c r="O132" t="s">
        <v>30</v>
      </c>
      <c r="P132" t="s">
        <v>7</v>
      </c>
      <c r="Q132" s="1">
        <v>1</v>
      </c>
    </row>
    <row r="133" spans="1:17" x14ac:dyDescent="0.35">
      <c r="A133" s="1">
        <f>ROW()-ROW(DATABARANG!$A$3)</f>
        <v>130</v>
      </c>
      <c r="B133" t="s">
        <v>466</v>
      </c>
      <c r="C133" t="s">
        <v>467</v>
      </c>
      <c r="D133" t="s">
        <v>142</v>
      </c>
      <c r="E133" t="s">
        <v>106</v>
      </c>
      <c r="F133" t="s">
        <v>7</v>
      </c>
      <c r="G133" s="1">
        <v>0</v>
      </c>
      <c r="K133" s="1">
        <v>130</v>
      </c>
      <c r="L133" t="s">
        <v>466</v>
      </c>
      <c r="M133" t="s">
        <v>467</v>
      </c>
      <c r="N133" t="s">
        <v>142</v>
      </c>
      <c r="O133" t="s">
        <v>106</v>
      </c>
      <c r="P133" t="s">
        <v>7</v>
      </c>
      <c r="Q133" s="1">
        <v>0</v>
      </c>
    </row>
    <row r="134" spans="1:17" x14ac:dyDescent="0.35">
      <c r="A134" s="1">
        <f>ROW()-ROW(DATABARANG!$A$3)</f>
        <v>131</v>
      </c>
      <c r="B134" t="s">
        <v>468</v>
      </c>
      <c r="C134" t="s">
        <v>469</v>
      </c>
      <c r="D134" t="s">
        <v>142</v>
      </c>
      <c r="E134" t="s">
        <v>304</v>
      </c>
      <c r="F134" t="s">
        <v>7</v>
      </c>
      <c r="G134" s="1">
        <v>0</v>
      </c>
      <c r="K134" s="1">
        <v>131</v>
      </c>
      <c r="L134" t="s">
        <v>468</v>
      </c>
      <c r="M134" t="s">
        <v>469</v>
      </c>
      <c r="N134" t="s">
        <v>142</v>
      </c>
      <c r="O134" t="s">
        <v>304</v>
      </c>
      <c r="P134" t="s">
        <v>7</v>
      </c>
      <c r="Q134" s="1">
        <v>0</v>
      </c>
    </row>
    <row r="135" spans="1:17" x14ac:dyDescent="0.35">
      <c r="A135" s="1">
        <f>ROW()-ROW(DATABARANG!$A$3)</f>
        <v>132</v>
      </c>
      <c r="B135" t="s">
        <v>470</v>
      </c>
      <c r="C135" t="s">
        <v>471</v>
      </c>
      <c r="D135" t="s">
        <v>142</v>
      </c>
      <c r="E135" t="s">
        <v>30</v>
      </c>
      <c r="F135" t="s">
        <v>7</v>
      </c>
      <c r="G135" s="1">
        <v>0</v>
      </c>
      <c r="K135" s="1">
        <v>132</v>
      </c>
      <c r="L135" t="s">
        <v>470</v>
      </c>
      <c r="M135" t="s">
        <v>471</v>
      </c>
      <c r="N135" t="s">
        <v>142</v>
      </c>
      <c r="O135" t="s">
        <v>30</v>
      </c>
      <c r="P135" t="s">
        <v>7</v>
      </c>
      <c r="Q135" s="1">
        <v>0</v>
      </c>
    </row>
    <row r="136" spans="1:17" x14ac:dyDescent="0.35">
      <c r="A136" s="1">
        <f>ROW()-ROW(DATABARANG!$A$3)</f>
        <v>133</v>
      </c>
      <c r="B136" t="s">
        <v>500</v>
      </c>
      <c r="C136" t="s">
        <v>501</v>
      </c>
      <c r="D136" t="s">
        <v>109</v>
      </c>
      <c r="E136" t="s">
        <v>30</v>
      </c>
      <c r="F136" t="s">
        <v>7</v>
      </c>
      <c r="G136" s="1">
        <v>0</v>
      </c>
      <c r="K136" s="1">
        <v>133</v>
      </c>
      <c r="L136" t="s">
        <v>500</v>
      </c>
      <c r="M136" t="s">
        <v>501</v>
      </c>
      <c r="N136" t="s">
        <v>109</v>
      </c>
      <c r="O136" t="s">
        <v>30</v>
      </c>
      <c r="P136" t="s">
        <v>7</v>
      </c>
      <c r="Q136" s="1">
        <v>0</v>
      </c>
    </row>
    <row r="137" spans="1:17" x14ac:dyDescent="0.35">
      <c r="A137" s="1">
        <f>ROW()-ROW(DATABARANG!$A$3)</f>
        <v>134</v>
      </c>
      <c r="B137" t="s">
        <v>508</v>
      </c>
      <c r="C137" t="s">
        <v>509</v>
      </c>
      <c r="D137" t="s">
        <v>510</v>
      </c>
      <c r="E137" t="s">
        <v>30</v>
      </c>
      <c r="F137" t="s">
        <v>7</v>
      </c>
      <c r="G137" s="1">
        <v>3</v>
      </c>
      <c r="K137" s="1">
        <v>134</v>
      </c>
      <c r="L137" t="s">
        <v>508</v>
      </c>
      <c r="M137" t="s">
        <v>509</v>
      </c>
      <c r="N137" t="s">
        <v>510</v>
      </c>
      <c r="O137" t="s">
        <v>30</v>
      </c>
      <c r="P137" t="s">
        <v>7</v>
      </c>
      <c r="Q137" s="1">
        <v>3</v>
      </c>
    </row>
    <row r="138" spans="1:17" x14ac:dyDescent="0.35">
      <c r="A138" s="1">
        <f>ROW()-ROW(DATABARANG!$A$3)</f>
        <v>135</v>
      </c>
      <c r="B138" t="s">
        <v>511</v>
      </c>
      <c r="C138" t="s">
        <v>512</v>
      </c>
      <c r="D138" t="s">
        <v>142</v>
      </c>
      <c r="E138" t="s">
        <v>30</v>
      </c>
      <c r="F138" t="s">
        <v>7</v>
      </c>
      <c r="G138" s="1">
        <v>0</v>
      </c>
      <c r="K138" s="1">
        <v>135</v>
      </c>
      <c r="L138" t="s">
        <v>511</v>
      </c>
      <c r="M138" t="s">
        <v>512</v>
      </c>
      <c r="N138" t="s">
        <v>142</v>
      </c>
      <c r="O138" t="s">
        <v>30</v>
      </c>
      <c r="P138" t="s">
        <v>7</v>
      </c>
      <c r="Q138" s="1">
        <v>0</v>
      </c>
    </row>
    <row r="139" spans="1:17" x14ac:dyDescent="0.35">
      <c r="A139" s="1">
        <f>ROW()-ROW(DATABARANG!$A$3)</f>
        <v>136</v>
      </c>
      <c r="B139" t="s">
        <v>516</v>
      </c>
      <c r="C139" t="s">
        <v>517</v>
      </c>
      <c r="D139" t="s">
        <v>142</v>
      </c>
      <c r="E139" t="s">
        <v>30</v>
      </c>
      <c r="F139" t="s">
        <v>7</v>
      </c>
      <c r="G139" s="1">
        <v>0</v>
      </c>
      <c r="K139" s="1">
        <v>136</v>
      </c>
      <c r="L139" t="s">
        <v>516</v>
      </c>
      <c r="M139" t="s">
        <v>517</v>
      </c>
      <c r="N139" t="s">
        <v>142</v>
      </c>
      <c r="O139" t="s">
        <v>30</v>
      </c>
      <c r="P139" t="s">
        <v>7</v>
      </c>
      <c r="Q139" s="1">
        <v>0</v>
      </c>
    </row>
    <row r="140" spans="1:17" x14ac:dyDescent="0.35">
      <c r="A140" s="1">
        <f>ROW()-ROW(DATABARANG!$A$3)</f>
        <v>137</v>
      </c>
      <c r="B140" t="s">
        <v>525</v>
      </c>
      <c r="C140" t="s">
        <v>526</v>
      </c>
      <c r="D140" t="s">
        <v>510</v>
      </c>
      <c r="E140" t="s">
        <v>30</v>
      </c>
      <c r="F140" t="s">
        <v>7</v>
      </c>
      <c r="G140" s="1">
        <v>2</v>
      </c>
      <c r="K140" s="1">
        <v>137</v>
      </c>
      <c r="L140" t="s">
        <v>525</v>
      </c>
      <c r="M140" t="s">
        <v>526</v>
      </c>
      <c r="N140" t="s">
        <v>510</v>
      </c>
      <c r="O140" t="s">
        <v>30</v>
      </c>
      <c r="P140" t="s">
        <v>7</v>
      </c>
      <c r="Q140" s="1">
        <v>2</v>
      </c>
    </row>
    <row r="141" spans="1:17" x14ac:dyDescent="0.35">
      <c r="A141" s="1">
        <f>ROW()-ROW(DATABARANG!$A$3)</f>
        <v>138</v>
      </c>
      <c r="B141" t="s">
        <v>528</v>
      </c>
      <c r="C141" t="s">
        <v>529</v>
      </c>
      <c r="D141" t="s">
        <v>121</v>
      </c>
      <c r="E141" t="s">
        <v>30</v>
      </c>
      <c r="F141" t="s">
        <v>7</v>
      </c>
      <c r="G141" s="1">
        <v>1</v>
      </c>
      <c r="K141" s="1">
        <v>138</v>
      </c>
      <c r="L141" t="s">
        <v>528</v>
      </c>
      <c r="M141" t="s">
        <v>529</v>
      </c>
      <c r="N141" t="s">
        <v>121</v>
      </c>
      <c r="O141" t="s">
        <v>30</v>
      </c>
      <c r="P141" t="s">
        <v>7</v>
      </c>
      <c r="Q141" s="1">
        <v>1</v>
      </c>
    </row>
    <row r="142" spans="1:17" x14ac:dyDescent="0.35">
      <c r="A142" s="1">
        <f>ROW()-ROW(DATABARANG!$A$3)</f>
        <v>139</v>
      </c>
      <c r="B142" t="s">
        <v>533</v>
      </c>
      <c r="C142" t="s">
        <v>534</v>
      </c>
      <c r="D142" t="s">
        <v>40</v>
      </c>
      <c r="E142" t="s">
        <v>106</v>
      </c>
      <c r="F142" t="s">
        <v>7</v>
      </c>
      <c r="G142" s="1">
        <v>0</v>
      </c>
      <c r="K142" s="1">
        <v>139</v>
      </c>
      <c r="L142" t="s">
        <v>533</v>
      </c>
      <c r="M142" t="s">
        <v>534</v>
      </c>
      <c r="N142" t="s">
        <v>40</v>
      </c>
      <c r="O142" t="s">
        <v>106</v>
      </c>
      <c r="P142" t="s">
        <v>7</v>
      </c>
      <c r="Q142" s="1">
        <v>0</v>
      </c>
    </row>
    <row r="143" spans="1:17" x14ac:dyDescent="0.35">
      <c r="A143" s="1">
        <f>ROW()-ROW(DATABARANG!$A$3)</f>
        <v>140</v>
      </c>
      <c r="B143" t="s">
        <v>539</v>
      </c>
      <c r="C143" t="s">
        <v>540</v>
      </c>
      <c r="D143" t="s">
        <v>77</v>
      </c>
      <c r="E143" t="s">
        <v>304</v>
      </c>
      <c r="F143" t="s">
        <v>7</v>
      </c>
      <c r="G143" s="1">
        <v>0</v>
      </c>
      <c r="K143" s="1">
        <v>140</v>
      </c>
      <c r="L143" t="s">
        <v>539</v>
      </c>
      <c r="M143" t="s">
        <v>540</v>
      </c>
      <c r="N143" t="s">
        <v>77</v>
      </c>
      <c r="O143" t="s">
        <v>304</v>
      </c>
      <c r="P143" t="s">
        <v>7</v>
      </c>
      <c r="Q143" s="1">
        <v>0</v>
      </c>
    </row>
    <row r="144" spans="1:17" x14ac:dyDescent="0.35">
      <c r="A144" s="1">
        <f>ROW()-ROW(DATABARANG!$A$3)</f>
        <v>141</v>
      </c>
      <c r="B144" t="s">
        <v>549</v>
      </c>
      <c r="C144" t="s">
        <v>550</v>
      </c>
      <c r="D144" t="s">
        <v>551</v>
      </c>
      <c r="E144" t="s">
        <v>30</v>
      </c>
      <c r="F144" t="s">
        <v>7</v>
      </c>
      <c r="G144" s="1">
        <v>0</v>
      </c>
      <c r="K144" s="1">
        <v>141</v>
      </c>
      <c r="L144" t="s">
        <v>549</v>
      </c>
      <c r="M144" t="s">
        <v>550</v>
      </c>
      <c r="N144" t="s">
        <v>551</v>
      </c>
      <c r="O144" t="s">
        <v>30</v>
      </c>
      <c r="P144" t="s">
        <v>7</v>
      </c>
      <c r="Q144" s="1">
        <v>0</v>
      </c>
    </row>
    <row r="145" spans="1:17" x14ac:dyDescent="0.35">
      <c r="A145" s="1">
        <f>ROW()-ROW(DATABARANG!$A$3)</f>
        <v>142</v>
      </c>
      <c r="B145" t="s">
        <v>556</v>
      </c>
      <c r="C145" t="s">
        <v>557</v>
      </c>
      <c r="D145" t="s">
        <v>40</v>
      </c>
      <c r="E145" t="s">
        <v>106</v>
      </c>
      <c r="F145" t="s">
        <v>7</v>
      </c>
      <c r="G145" s="1">
        <v>0</v>
      </c>
      <c r="K145" s="1">
        <v>142</v>
      </c>
      <c r="L145" t="s">
        <v>556</v>
      </c>
      <c r="M145" t="s">
        <v>557</v>
      </c>
      <c r="N145" t="s">
        <v>40</v>
      </c>
      <c r="O145" t="s">
        <v>106</v>
      </c>
      <c r="P145" t="s">
        <v>7</v>
      </c>
      <c r="Q145" s="1">
        <v>0</v>
      </c>
    </row>
    <row r="146" spans="1:17" x14ac:dyDescent="0.35">
      <c r="A146" s="1">
        <f>ROW()-ROW(DATABARANG!$A$3)</f>
        <v>143</v>
      </c>
      <c r="B146" t="s">
        <v>560</v>
      </c>
      <c r="C146" t="s">
        <v>561</v>
      </c>
      <c r="D146" t="s">
        <v>121</v>
      </c>
      <c r="E146" t="s">
        <v>562</v>
      </c>
      <c r="F146" t="s">
        <v>7</v>
      </c>
      <c r="G146" s="1">
        <v>0</v>
      </c>
      <c r="K146" s="1">
        <v>143</v>
      </c>
      <c r="L146" t="s">
        <v>560</v>
      </c>
      <c r="M146" t="s">
        <v>561</v>
      </c>
      <c r="N146" t="s">
        <v>121</v>
      </c>
      <c r="O146" t="s">
        <v>562</v>
      </c>
      <c r="P146" t="s">
        <v>7</v>
      </c>
      <c r="Q146" s="1">
        <v>0</v>
      </c>
    </row>
    <row r="147" spans="1:17" x14ac:dyDescent="0.35">
      <c r="A147" s="1">
        <f>ROW()-ROW(DATABARANG!$A$3)</f>
        <v>144</v>
      </c>
      <c r="B147" t="s">
        <v>564</v>
      </c>
      <c r="C147" t="s">
        <v>565</v>
      </c>
      <c r="D147" t="s">
        <v>510</v>
      </c>
      <c r="E147" t="s">
        <v>30</v>
      </c>
      <c r="F147" t="s">
        <v>7</v>
      </c>
      <c r="G147" s="1">
        <v>0</v>
      </c>
      <c r="K147" s="1">
        <v>144</v>
      </c>
      <c r="L147" t="s">
        <v>564</v>
      </c>
      <c r="M147" t="s">
        <v>565</v>
      </c>
      <c r="N147" t="s">
        <v>510</v>
      </c>
      <c r="O147" t="s">
        <v>30</v>
      </c>
      <c r="P147" t="s">
        <v>7</v>
      </c>
      <c r="Q147" s="1">
        <v>0</v>
      </c>
    </row>
    <row r="148" spans="1:17" x14ac:dyDescent="0.35">
      <c r="A148" s="1">
        <f>ROW()-ROW(DATABARANG!$A$3)</f>
        <v>145</v>
      </c>
      <c r="B148" t="s">
        <v>566</v>
      </c>
      <c r="C148" t="s">
        <v>567</v>
      </c>
      <c r="D148" t="s">
        <v>510</v>
      </c>
      <c r="E148" t="s">
        <v>30</v>
      </c>
      <c r="F148" t="s">
        <v>7</v>
      </c>
      <c r="G148" s="1">
        <v>0</v>
      </c>
      <c r="K148" s="1">
        <v>145</v>
      </c>
      <c r="L148" t="s">
        <v>566</v>
      </c>
      <c r="M148" t="s">
        <v>567</v>
      </c>
      <c r="N148" t="s">
        <v>510</v>
      </c>
      <c r="O148" t="s">
        <v>30</v>
      </c>
      <c r="P148" t="s">
        <v>7</v>
      </c>
      <c r="Q148" s="1">
        <v>0</v>
      </c>
    </row>
    <row r="149" spans="1:17" x14ac:dyDescent="0.35">
      <c r="A149" s="1">
        <f>ROW()-ROW(DATABARANG!$A$3)</f>
        <v>146</v>
      </c>
      <c r="B149" t="s">
        <v>568</v>
      </c>
      <c r="C149" t="s">
        <v>569</v>
      </c>
      <c r="D149" t="s">
        <v>510</v>
      </c>
      <c r="E149" t="s">
        <v>30</v>
      </c>
      <c r="F149" t="s">
        <v>7</v>
      </c>
      <c r="G149" s="1">
        <v>1</v>
      </c>
      <c r="K149" s="1">
        <v>146</v>
      </c>
      <c r="L149" t="s">
        <v>568</v>
      </c>
      <c r="M149" t="s">
        <v>569</v>
      </c>
      <c r="N149" t="s">
        <v>510</v>
      </c>
      <c r="O149" t="s">
        <v>30</v>
      </c>
      <c r="P149" t="s">
        <v>7</v>
      </c>
      <c r="Q149" s="1">
        <v>1</v>
      </c>
    </row>
    <row r="150" spans="1:17" x14ac:dyDescent="0.35">
      <c r="A150" s="1">
        <f>ROW()-ROW(DATABARANG!$A$3)</f>
        <v>147</v>
      </c>
      <c r="B150" t="s">
        <v>570</v>
      </c>
      <c r="C150" t="s">
        <v>571</v>
      </c>
      <c r="D150" t="s">
        <v>510</v>
      </c>
      <c r="E150" t="s">
        <v>30</v>
      </c>
      <c r="F150" t="s">
        <v>7</v>
      </c>
      <c r="G150" s="1">
        <v>0</v>
      </c>
      <c r="K150" s="1">
        <v>147</v>
      </c>
      <c r="L150" t="s">
        <v>570</v>
      </c>
      <c r="M150" t="s">
        <v>571</v>
      </c>
      <c r="N150" t="s">
        <v>510</v>
      </c>
      <c r="O150" t="s">
        <v>30</v>
      </c>
      <c r="P150" t="s">
        <v>7</v>
      </c>
      <c r="Q150" s="1">
        <v>0</v>
      </c>
    </row>
    <row r="151" spans="1:17" x14ac:dyDescent="0.35">
      <c r="A151" s="1">
        <f>ROW()-ROW(DATABARANG!$A$3)</f>
        <v>148</v>
      </c>
      <c r="B151" t="s">
        <v>572</v>
      </c>
      <c r="C151" t="s">
        <v>573</v>
      </c>
      <c r="D151" t="s">
        <v>510</v>
      </c>
      <c r="E151" t="s">
        <v>30</v>
      </c>
      <c r="F151" t="s">
        <v>7</v>
      </c>
      <c r="G151" s="1">
        <v>0</v>
      </c>
      <c r="K151" s="1">
        <v>148</v>
      </c>
      <c r="L151" t="s">
        <v>572</v>
      </c>
      <c r="M151" t="s">
        <v>573</v>
      </c>
      <c r="N151" t="s">
        <v>510</v>
      </c>
      <c r="O151" t="s">
        <v>30</v>
      </c>
      <c r="P151" t="s">
        <v>7</v>
      </c>
      <c r="Q151" s="1">
        <v>0</v>
      </c>
    </row>
    <row r="152" spans="1:17" x14ac:dyDescent="0.35">
      <c r="A152" s="1">
        <f>ROW()-ROW(DATABARANG!$A$3)</f>
        <v>149</v>
      </c>
      <c r="B152" t="s">
        <v>579</v>
      </c>
      <c r="C152" t="s">
        <v>580</v>
      </c>
      <c r="D152" t="s">
        <v>510</v>
      </c>
      <c r="E152" t="s">
        <v>30</v>
      </c>
      <c r="F152" t="s">
        <v>7</v>
      </c>
      <c r="G152" s="1">
        <v>1</v>
      </c>
      <c r="K152" s="1">
        <v>149</v>
      </c>
      <c r="L152" t="s">
        <v>579</v>
      </c>
      <c r="M152" t="s">
        <v>580</v>
      </c>
      <c r="N152" t="s">
        <v>510</v>
      </c>
      <c r="O152" t="s">
        <v>30</v>
      </c>
      <c r="P152" t="s">
        <v>7</v>
      </c>
      <c r="Q152" s="1">
        <v>1</v>
      </c>
    </row>
    <row r="153" spans="1:17" x14ac:dyDescent="0.35">
      <c r="A153" s="1">
        <f>ROW()-ROW(DATABARANG!$A$3)</f>
        <v>150</v>
      </c>
      <c r="B153" t="s">
        <v>581</v>
      </c>
      <c r="C153" t="s">
        <v>582</v>
      </c>
      <c r="D153" t="s">
        <v>510</v>
      </c>
      <c r="E153" t="s">
        <v>30</v>
      </c>
      <c r="F153" t="s">
        <v>7</v>
      </c>
      <c r="G153" s="1">
        <v>0</v>
      </c>
      <c r="K153" s="1">
        <v>150</v>
      </c>
      <c r="L153" t="s">
        <v>581</v>
      </c>
      <c r="M153" t="s">
        <v>582</v>
      </c>
      <c r="N153" t="s">
        <v>510</v>
      </c>
      <c r="O153" t="s">
        <v>30</v>
      </c>
      <c r="P153" t="s">
        <v>7</v>
      </c>
      <c r="Q153" s="1">
        <v>0</v>
      </c>
    </row>
    <row r="154" spans="1:17" x14ac:dyDescent="0.35">
      <c r="A154" s="1">
        <f>ROW()-ROW(DATABARANG!$A$3)</f>
        <v>151</v>
      </c>
      <c r="B154" t="s">
        <v>583</v>
      </c>
      <c r="C154" t="s">
        <v>584</v>
      </c>
      <c r="D154" t="s">
        <v>510</v>
      </c>
      <c r="E154" t="s">
        <v>30</v>
      </c>
      <c r="F154" t="s">
        <v>7</v>
      </c>
      <c r="G154" s="1">
        <v>0</v>
      </c>
      <c r="K154" s="1">
        <v>151</v>
      </c>
      <c r="L154" t="s">
        <v>583</v>
      </c>
      <c r="M154" t="s">
        <v>584</v>
      </c>
      <c r="N154" t="s">
        <v>510</v>
      </c>
      <c r="O154" t="s">
        <v>30</v>
      </c>
      <c r="P154" t="s">
        <v>7</v>
      </c>
      <c r="Q154" s="1">
        <v>0</v>
      </c>
    </row>
    <row r="155" spans="1:17" x14ac:dyDescent="0.35">
      <c r="A155" s="1">
        <f>ROW()-ROW(DATABARANG!$A$3)</f>
        <v>152</v>
      </c>
      <c r="B155" t="s">
        <v>585</v>
      </c>
      <c r="C155" t="s">
        <v>586</v>
      </c>
      <c r="D155" t="s">
        <v>510</v>
      </c>
      <c r="E155" t="s">
        <v>30</v>
      </c>
      <c r="F155" t="s">
        <v>7</v>
      </c>
      <c r="G155" s="1">
        <v>0</v>
      </c>
      <c r="K155" s="1">
        <v>152</v>
      </c>
      <c r="L155" t="s">
        <v>585</v>
      </c>
      <c r="M155" t="s">
        <v>586</v>
      </c>
      <c r="N155" t="s">
        <v>510</v>
      </c>
      <c r="O155" t="s">
        <v>30</v>
      </c>
      <c r="P155" t="s">
        <v>7</v>
      </c>
      <c r="Q155" s="1">
        <v>0</v>
      </c>
    </row>
    <row r="156" spans="1:17" x14ac:dyDescent="0.35">
      <c r="A156" s="1">
        <f>ROW()-ROW(DATABARANG!$A$3)</f>
        <v>153</v>
      </c>
      <c r="B156" t="s">
        <v>587</v>
      </c>
      <c r="C156" t="s">
        <v>595</v>
      </c>
      <c r="D156" t="s">
        <v>510</v>
      </c>
      <c r="E156" t="s">
        <v>30</v>
      </c>
      <c r="F156" t="s">
        <v>7</v>
      </c>
      <c r="G156" s="1">
        <v>0</v>
      </c>
      <c r="K156" s="1">
        <v>153</v>
      </c>
      <c r="L156" t="s">
        <v>587</v>
      </c>
      <c r="M156" t="s">
        <v>595</v>
      </c>
      <c r="N156" t="s">
        <v>510</v>
      </c>
      <c r="O156" t="s">
        <v>30</v>
      </c>
      <c r="P156" t="s">
        <v>7</v>
      </c>
      <c r="Q156" s="1">
        <v>0</v>
      </c>
    </row>
    <row r="157" spans="1:17" x14ac:dyDescent="0.35">
      <c r="A157" s="1">
        <f>ROW()-ROW(DATABARANG!$A$3)</f>
        <v>154</v>
      </c>
      <c r="B157" t="s">
        <v>588</v>
      </c>
      <c r="C157" t="s">
        <v>589</v>
      </c>
      <c r="D157" t="s">
        <v>510</v>
      </c>
      <c r="E157" t="s">
        <v>562</v>
      </c>
      <c r="F157" t="s">
        <v>7</v>
      </c>
      <c r="G157" s="1">
        <v>4</v>
      </c>
      <c r="K157" s="1">
        <v>154</v>
      </c>
      <c r="L157" t="s">
        <v>588</v>
      </c>
      <c r="M157" t="s">
        <v>589</v>
      </c>
      <c r="N157" t="s">
        <v>510</v>
      </c>
      <c r="O157" t="s">
        <v>562</v>
      </c>
      <c r="P157" t="s">
        <v>7</v>
      </c>
      <c r="Q157" s="1">
        <v>4</v>
      </c>
    </row>
    <row r="158" spans="1:17" x14ac:dyDescent="0.35">
      <c r="A158" s="1">
        <f>ROW()-ROW(DATABARANG!$A$3)</f>
        <v>155</v>
      </c>
      <c r="B158" t="s">
        <v>596</v>
      </c>
      <c r="C158" t="s">
        <v>597</v>
      </c>
      <c r="D158" t="s">
        <v>510</v>
      </c>
      <c r="E158" t="s">
        <v>30</v>
      </c>
      <c r="F158" t="s">
        <v>7</v>
      </c>
      <c r="G158" s="1">
        <v>0</v>
      </c>
      <c r="K158" s="1">
        <v>155</v>
      </c>
      <c r="L158" t="s">
        <v>596</v>
      </c>
      <c r="M158" t="s">
        <v>597</v>
      </c>
      <c r="N158" t="s">
        <v>510</v>
      </c>
      <c r="O158" t="s">
        <v>30</v>
      </c>
      <c r="P158" t="s">
        <v>7</v>
      </c>
      <c r="Q158" s="1">
        <v>0</v>
      </c>
    </row>
    <row r="159" spans="1:17" x14ac:dyDescent="0.35">
      <c r="A159" s="1">
        <f>ROW()-ROW(DATABARANG!$A$3)</f>
        <v>156</v>
      </c>
      <c r="B159" t="s">
        <v>600</v>
      </c>
      <c r="C159" t="s">
        <v>601</v>
      </c>
      <c r="D159" t="s">
        <v>121</v>
      </c>
      <c r="E159" t="s">
        <v>30</v>
      </c>
      <c r="F159" t="s">
        <v>7</v>
      </c>
      <c r="G159" s="1">
        <v>1</v>
      </c>
      <c r="K159" s="1">
        <v>156</v>
      </c>
      <c r="L159" t="s">
        <v>600</v>
      </c>
      <c r="M159" t="s">
        <v>601</v>
      </c>
      <c r="N159" t="s">
        <v>121</v>
      </c>
      <c r="O159" t="s">
        <v>30</v>
      </c>
      <c r="P159" t="s">
        <v>7</v>
      </c>
      <c r="Q159" s="1">
        <v>1</v>
      </c>
    </row>
    <row r="160" spans="1:17" x14ac:dyDescent="0.35">
      <c r="A160" s="1">
        <f>ROW()-ROW(DATABARANG!$A$3)</f>
        <v>157</v>
      </c>
      <c r="B160" t="s">
        <v>602</v>
      </c>
      <c r="C160" t="s">
        <v>603</v>
      </c>
      <c r="D160" t="s">
        <v>121</v>
      </c>
      <c r="E160" t="s">
        <v>30</v>
      </c>
      <c r="F160" t="s">
        <v>7</v>
      </c>
      <c r="G160" s="1">
        <v>1</v>
      </c>
      <c r="K160" s="1">
        <v>157</v>
      </c>
      <c r="L160" t="s">
        <v>602</v>
      </c>
      <c r="M160" t="s">
        <v>603</v>
      </c>
      <c r="N160" t="s">
        <v>121</v>
      </c>
      <c r="O160" t="s">
        <v>30</v>
      </c>
      <c r="P160" t="s">
        <v>7</v>
      </c>
      <c r="Q160" s="1">
        <v>1</v>
      </c>
    </row>
    <row r="161" spans="1:17" x14ac:dyDescent="0.35">
      <c r="A161" s="1">
        <f>ROW()-ROW(DATABARANG!$A$3)</f>
        <v>158</v>
      </c>
      <c r="B161" t="s">
        <v>604</v>
      </c>
      <c r="C161" t="s">
        <v>605</v>
      </c>
      <c r="D161" t="s">
        <v>121</v>
      </c>
      <c r="E161" t="s">
        <v>30</v>
      </c>
      <c r="F161" t="s">
        <v>7</v>
      </c>
      <c r="G161" s="1">
        <v>1</v>
      </c>
      <c r="K161" s="1">
        <v>158</v>
      </c>
      <c r="L161" t="s">
        <v>604</v>
      </c>
      <c r="M161" t="s">
        <v>605</v>
      </c>
      <c r="N161" t="s">
        <v>121</v>
      </c>
      <c r="O161" t="s">
        <v>30</v>
      </c>
      <c r="P161" t="s">
        <v>7</v>
      </c>
      <c r="Q161" s="1">
        <v>1</v>
      </c>
    </row>
    <row r="162" spans="1:17" x14ac:dyDescent="0.35">
      <c r="A162" s="1">
        <f>ROW()-ROW(DATABARANG!$A$3)</f>
        <v>159</v>
      </c>
      <c r="B162" t="s">
        <v>606</v>
      </c>
      <c r="C162" t="s">
        <v>607</v>
      </c>
      <c r="D162" t="s">
        <v>121</v>
      </c>
      <c r="E162" t="s">
        <v>30</v>
      </c>
      <c r="F162" t="s">
        <v>7</v>
      </c>
      <c r="G162" s="1">
        <v>0</v>
      </c>
      <c r="K162" s="1">
        <v>159</v>
      </c>
      <c r="L162" t="s">
        <v>606</v>
      </c>
      <c r="M162" t="s">
        <v>607</v>
      </c>
      <c r="N162" t="s">
        <v>121</v>
      </c>
      <c r="O162" t="s">
        <v>30</v>
      </c>
      <c r="P162" t="s">
        <v>7</v>
      </c>
      <c r="Q162" s="1">
        <v>0</v>
      </c>
    </row>
    <row r="163" spans="1:17" x14ac:dyDescent="0.35">
      <c r="A163" s="1">
        <f>ROW()-ROW(DATABARANG!$A$3)</f>
        <v>160</v>
      </c>
      <c r="B163" t="s">
        <v>608</v>
      </c>
      <c r="C163" t="s">
        <v>609</v>
      </c>
      <c r="D163" t="s">
        <v>121</v>
      </c>
      <c r="E163" t="s">
        <v>30</v>
      </c>
      <c r="F163" t="s">
        <v>7</v>
      </c>
      <c r="G163" s="1">
        <v>0</v>
      </c>
      <c r="K163" s="1">
        <v>160</v>
      </c>
      <c r="L163" t="s">
        <v>608</v>
      </c>
      <c r="M163" t="s">
        <v>609</v>
      </c>
      <c r="N163" t="s">
        <v>121</v>
      </c>
      <c r="O163" t="s">
        <v>30</v>
      </c>
      <c r="P163" t="s">
        <v>7</v>
      </c>
      <c r="Q163" s="1">
        <v>0</v>
      </c>
    </row>
    <row r="164" spans="1:17" x14ac:dyDescent="0.35">
      <c r="A164" s="1">
        <f>ROW()-ROW(DATABARANG!$A$3)</f>
        <v>161</v>
      </c>
      <c r="B164" t="s">
        <v>610</v>
      </c>
      <c r="C164" t="s">
        <v>611</v>
      </c>
      <c r="D164" t="s">
        <v>121</v>
      </c>
      <c r="E164" t="s">
        <v>30</v>
      </c>
      <c r="F164" t="s">
        <v>7</v>
      </c>
      <c r="G164" s="1">
        <v>1</v>
      </c>
      <c r="K164" s="1">
        <v>161</v>
      </c>
      <c r="L164" t="s">
        <v>610</v>
      </c>
      <c r="M164" t="s">
        <v>611</v>
      </c>
      <c r="N164" t="s">
        <v>121</v>
      </c>
      <c r="O164" t="s">
        <v>30</v>
      </c>
      <c r="P164" t="s">
        <v>7</v>
      </c>
      <c r="Q164" s="1">
        <v>1</v>
      </c>
    </row>
    <row r="165" spans="1:17" x14ac:dyDescent="0.35">
      <c r="A165" s="1">
        <f>ROW()-ROW(DATABARANG!$A$3)</f>
        <v>162</v>
      </c>
      <c r="B165" t="s">
        <v>612</v>
      </c>
      <c r="C165" t="s">
        <v>613</v>
      </c>
      <c r="D165" t="s">
        <v>121</v>
      </c>
      <c r="E165" t="s">
        <v>30</v>
      </c>
      <c r="F165" t="s">
        <v>7</v>
      </c>
      <c r="G165" s="1">
        <v>0</v>
      </c>
      <c r="K165" s="1">
        <v>162</v>
      </c>
      <c r="L165" t="s">
        <v>612</v>
      </c>
      <c r="M165" t="s">
        <v>613</v>
      </c>
      <c r="N165" t="s">
        <v>121</v>
      </c>
      <c r="O165" t="s">
        <v>30</v>
      </c>
      <c r="P165" t="s">
        <v>7</v>
      </c>
      <c r="Q165" s="1">
        <v>0</v>
      </c>
    </row>
    <row r="166" spans="1:17" x14ac:dyDescent="0.35">
      <c r="A166" s="1">
        <f>ROW()-ROW(DATABARANG!$A$3)</f>
        <v>163</v>
      </c>
      <c r="B166" t="s">
        <v>614</v>
      </c>
      <c r="C166" t="s">
        <v>615</v>
      </c>
      <c r="D166" t="s">
        <v>121</v>
      </c>
      <c r="E166" t="s">
        <v>30</v>
      </c>
      <c r="F166" t="s">
        <v>7</v>
      </c>
      <c r="G166" s="1">
        <v>5</v>
      </c>
      <c r="K166" s="1">
        <v>163</v>
      </c>
      <c r="L166" t="s">
        <v>614</v>
      </c>
      <c r="M166" t="s">
        <v>615</v>
      </c>
      <c r="N166" t="s">
        <v>121</v>
      </c>
      <c r="O166" t="s">
        <v>30</v>
      </c>
      <c r="P166" t="s">
        <v>7</v>
      </c>
      <c r="Q166" s="1">
        <v>5</v>
      </c>
    </row>
    <row r="167" spans="1:17" x14ac:dyDescent="0.35">
      <c r="A167" s="1">
        <f>ROW()-ROW(DATABARANG!$A$3)</f>
        <v>164</v>
      </c>
      <c r="B167" t="s">
        <v>616</v>
      </c>
      <c r="C167" t="s">
        <v>617</v>
      </c>
      <c r="D167" t="s">
        <v>121</v>
      </c>
      <c r="E167" t="s">
        <v>30</v>
      </c>
      <c r="F167" t="s">
        <v>7</v>
      </c>
      <c r="G167" s="1">
        <v>0</v>
      </c>
      <c r="K167" s="1">
        <v>164</v>
      </c>
      <c r="L167" t="s">
        <v>616</v>
      </c>
      <c r="M167" t="s">
        <v>617</v>
      </c>
      <c r="N167" t="s">
        <v>121</v>
      </c>
      <c r="O167" t="s">
        <v>30</v>
      </c>
      <c r="P167" t="s">
        <v>7</v>
      </c>
      <c r="Q167" s="1">
        <v>0</v>
      </c>
    </row>
    <row r="168" spans="1:17" x14ac:dyDescent="0.35">
      <c r="A168" s="1">
        <f>ROW()-ROW(DATABARANG!$A$3)</f>
        <v>165</v>
      </c>
      <c r="B168" t="s">
        <v>618</v>
      </c>
      <c r="C168" t="s">
        <v>619</v>
      </c>
      <c r="D168" t="s">
        <v>142</v>
      </c>
      <c r="E168" t="s">
        <v>30</v>
      </c>
      <c r="F168" t="s">
        <v>7</v>
      </c>
      <c r="G168" s="1">
        <v>0</v>
      </c>
      <c r="K168" s="1">
        <v>165</v>
      </c>
      <c r="L168" t="s">
        <v>618</v>
      </c>
      <c r="M168" t="s">
        <v>619</v>
      </c>
      <c r="N168" t="s">
        <v>142</v>
      </c>
      <c r="O168" t="s">
        <v>30</v>
      </c>
      <c r="P168" t="s">
        <v>7</v>
      </c>
      <c r="Q168" s="1">
        <v>0</v>
      </c>
    </row>
    <row r="169" spans="1:17" x14ac:dyDescent="0.35">
      <c r="A169" s="1">
        <f>ROW()-ROW(DATABARANG!$A$3)</f>
        <v>166</v>
      </c>
      <c r="B169" t="s">
        <v>620</v>
      </c>
      <c r="C169" t="s">
        <v>621</v>
      </c>
      <c r="D169" t="s">
        <v>142</v>
      </c>
      <c r="E169" t="s">
        <v>30</v>
      </c>
      <c r="F169" t="s">
        <v>7</v>
      </c>
      <c r="G169" s="1">
        <v>0</v>
      </c>
      <c r="K169" s="1">
        <v>166</v>
      </c>
      <c r="L169" t="s">
        <v>620</v>
      </c>
      <c r="M169" t="s">
        <v>621</v>
      </c>
      <c r="N169" t="s">
        <v>142</v>
      </c>
      <c r="O169" t="s">
        <v>30</v>
      </c>
      <c r="P169" t="s">
        <v>7</v>
      </c>
      <c r="Q169" s="1">
        <v>0</v>
      </c>
    </row>
    <row r="170" spans="1:17" x14ac:dyDescent="0.35">
      <c r="A170" s="1">
        <f>ROW()-ROW(DATABARANG!$A$3)</f>
        <v>167</v>
      </c>
      <c r="B170" t="s">
        <v>622</v>
      </c>
      <c r="C170" t="s">
        <v>623</v>
      </c>
      <c r="D170" t="s">
        <v>142</v>
      </c>
      <c r="E170" t="s">
        <v>30</v>
      </c>
      <c r="F170" t="s">
        <v>7</v>
      </c>
      <c r="G170" s="1">
        <v>0</v>
      </c>
      <c r="K170" s="1">
        <v>167</v>
      </c>
      <c r="L170" t="s">
        <v>622</v>
      </c>
      <c r="M170" t="s">
        <v>623</v>
      </c>
      <c r="N170" t="s">
        <v>142</v>
      </c>
      <c r="O170" t="s">
        <v>30</v>
      </c>
      <c r="P170" t="s">
        <v>7</v>
      </c>
      <c r="Q170" s="1">
        <v>0</v>
      </c>
    </row>
    <row r="171" spans="1:17" x14ac:dyDescent="0.35">
      <c r="A171" s="1">
        <f>ROW()-ROW(DATABARANG!$A$3)</f>
        <v>168</v>
      </c>
      <c r="B171" t="s">
        <v>624</v>
      </c>
      <c r="C171" t="s">
        <v>625</v>
      </c>
      <c r="D171" t="s">
        <v>142</v>
      </c>
      <c r="E171" t="s">
        <v>30</v>
      </c>
      <c r="F171" t="s">
        <v>7</v>
      </c>
      <c r="G171" s="1">
        <v>0</v>
      </c>
      <c r="K171" s="1">
        <v>168</v>
      </c>
      <c r="L171" t="s">
        <v>624</v>
      </c>
      <c r="M171" t="s">
        <v>625</v>
      </c>
      <c r="N171" t="s">
        <v>142</v>
      </c>
      <c r="O171" t="s">
        <v>30</v>
      </c>
      <c r="P171" t="s">
        <v>7</v>
      </c>
      <c r="Q171" s="1">
        <v>0</v>
      </c>
    </row>
    <row r="172" spans="1:17" x14ac:dyDescent="0.35">
      <c r="A172" s="1">
        <f>ROW()-ROW(DATABARANG!$A$3)</f>
        <v>169</v>
      </c>
      <c r="B172" t="s">
        <v>626</v>
      </c>
      <c r="C172" t="s">
        <v>627</v>
      </c>
      <c r="D172" t="s">
        <v>147</v>
      </c>
      <c r="E172" t="s">
        <v>30</v>
      </c>
      <c r="F172" t="s">
        <v>7</v>
      </c>
      <c r="G172" s="1">
        <v>0</v>
      </c>
      <c r="K172" s="1">
        <v>169</v>
      </c>
      <c r="L172" t="s">
        <v>626</v>
      </c>
      <c r="M172" t="s">
        <v>627</v>
      </c>
      <c r="N172" t="s">
        <v>147</v>
      </c>
      <c r="O172" t="s">
        <v>30</v>
      </c>
      <c r="P172" t="s">
        <v>7</v>
      </c>
      <c r="Q172" s="1">
        <v>0</v>
      </c>
    </row>
    <row r="173" spans="1:17" x14ac:dyDescent="0.35">
      <c r="A173" s="1">
        <f>ROW()-ROW(DATABARANG!$A$3)</f>
        <v>170</v>
      </c>
      <c r="B173" t="s">
        <v>628</v>
      </c>
      <c r="C173" t="s">
        <v>629</v>
      </c>
      <c r="D173" t="s">
        <v>147</v>
      </c>
      <c r="E173" t="s">
        <v>30</v>
      </c>
      <c r="F173" t="s">
        <v>7</v>
      </c>
      <c r="G173" s="1">
        <v>0</v>
      </c>
      <c r="K173" s="1">
        <v>170</v>
      </c>
      <c r="L173" t="s">
        <v>628</v>
      </c>
      <c r="M173" t="s">
        <v>629</v>
      </c>
      <c r="N173" t="s">
        <v>147</v>
      </c>
      <c r="O173" t="s">
        <v>30</v>
      </c>
      <c r="P173" t="s">
        <v>7</v>
      </c>
      <c r="Q173" s="1">
        <v>0</v>
      </c>
    </row>
    <row r="174" spans="1:17" x14ac:dyDescent="0.35">
      <c r="A174" s="1">
        <f>ROW()-ROW(DATABARANG!$A$3)</f>
        <v>171</v>
      </c>
      <c r="B174" t="s">
        <v>630</v>
      </c>
      <c r="C174" t="s">
        <v>631</v>
      </c>
      <c r="D174" t="s">
        <v>94</v>
      </c>
      <c r="E174" t="s">
        <v>41</v>
      </c>
      <c r="F174" t="s">
        <v>7</v>
      </c>
      <c r="G174" s="1">
        <v>0</v>
      </c>
      <c r="K174" s="1">
        <v>171</v>
      </c>
      <c r="L174" t="s">
        <v>630</v>
      </c>
      <c r="M174" t="s">
        <v>631</v>
      </c>
      <c r="N174" t="s">
        <v>94</v>
      </c>
      <c r="O174" t="s">
        <v>41</v>
      </c>
      <c r="P174" t="s">
        <v>7</v>
      </c>
      <c r="Q174" s="1">
        <v>0</v>
      </c>
    </row>
    <row r="175" spans="1:17" x14ac:dyDescent="0.35">
      <c r="A175" s="1">
        <f>ROW()-ROW(DATABARANG!$A$3)</f>
        <v>172</v>
      </c>
      <c r="B175" t="s">
        <v>632</v>
      </c>
      <c r="C175" t="s">
        <v>633</v>
      </c>
      <c r="D175" t="s">
        <v>76</v>
      </c>
      <c r="E175" t="s">
        <v>30</v>
      </c>
      <c r="F175" t="s">
        <v>7</v>
      </c>
      <c r="G175" s="1">
        <v>2</v>
      </c>
      <c r="K175" s="1">
        <v>172</v>
      </c>
      <c r="L175" t="s">
        <v>632</v>
      </c>
      <c r="M175" t="s">
        <v>633</v>
      </c>
      <c r="N175" t="s">
        <v>76</v>
      </c>
      <c r="O175" t="s">
        <v>30</v>
      </c>
      <c r="P175" t="s">
        <v>7</v>
      </c>
      <c r="Q175" s="1">
        <v>2</v>
      </c>
    </row>
    <row r="176" spans="1:17" x14ac:dyDescent="0.35">
      <c r="A176" s="1">
        <f>ROW()-ROW(DATABARANG!$A$3)</f>
        <v>173</v>
      </c>
      <c r="B176" t="s">
        <v>634</v>
      </c>
      <c r="C176" t="s">
        <v>635</v>
      </c>
      <c r="D176" t="s">
        <v>118</v>
      </c>
      <c r="E176" t="s">
        <v>30</v>
      </c>
      <c r="F176" t="s">
        <v>7</v>
      </c>
      <c r="G176" s="1">
        <v>0</v>
      </c>
      <c r="K176" s="1">
        <v>173</v>
      </c>
      <c r="L176" t="s">
        <v>634</v>
      </c>
      <c r="M176" t="s">
        <v>635</v>
      </c>
      <c r="N176" t="s">
        <v>118</v>
      </c>
      <c r="O176" t="s">
        <v>30</v>
      </c>
      <c r="P176" t="s">
        <v>7</v>
      </c>
      <c r="Q176" s="1">
        <v>0</v>
      </c>
    </row>
    <row r="177" spans="1:17" x14ac:dyDescent="0.35">
      <c r="A177" s="1">
        <f>ROW()-ROW(DATABARANG!$A$3)</f>
        <v>174</v>
      </c>
      <c r="B177" t="s">
        <v>636</v>
      </c>
      <c r="C177" t="s">
        <v>637</v>
      </c>
      <c r="D177" t="s">
        <v>151</v>
      </c>
      <c r="E177" t="s">
        <v>30</v>
      </c>
      <c r="F177" t="s">
        <v>7</v>
      </c>
      <c r="G177" s="1">
        <v>4</v>
      </c>
      <c r="K177" s="1">
        <v>174</v>
      </c>
      <c r="L177" t="s">
        <v>636</v>
      </c>
      <c r="M177" t="s">
        <v>637</v>
      </c>
      <c r="N177" t="s">
        <v>151</v>
      </c>
      <c r="O177" t="s">
        <v>30</v>
      </c>
      <c r="P177" t="s">
        <v>7</v>
      </c>
      <c r="Q177" s="1">
        <v>4</v>
      </c>
    </row>
    <row r="178" spans="1:17" x14ac:dyDescent="0.35">
      <c r="A178" s="1">
        <f>ROW()-ROW(DATABARANG!$A$3)</f>
        <v>175</v>
      </c>
      <c r="B178" t="s">
        <v>638</v>
      </c>
      <c r="C178" t="s">
        <v>639</v>
      </c>
      <c r="D178" t="s">
        <v>121</v>
      </c>
      <c r="E178" t="s">
        <v>562</v>
      </c>
      <c r="F178" t="s">
        <v>7</v>
      </c>
      <c r="G178" s="1">
        <v>1</v>
      </c>
      <c r="K178" s="1">
        <v>175</v>
      </c>
      <c r="L178" t="s">
        <v>638</v>
      </c>
      <c r="M178" t="s">
        <v>639</v>
      </c>
      <c r="N178" t="s">
        <v>121</v>
      </c>
      <c r="O178" t="s">
        <v>562</v>
      </c>
      <c r="P178" t="s">
        <v>7</v>
      </c>
      <c r="Q178" s="1">
        <v>1</v>
      </c>
    </row>
    <row r="179" spans="1:17" x14ac:dyDescent="0.35">
      <c r="A179" s="1">
        <f>ROW()-ROW(DATABARANG!$A$3)</f>
        <v>176</v>
      </c>
      <c r="B179" t="s">
        <v>640</v>
      </c>
      <c r="C179" t="s">
        <v>639</v>
      </c>
      <c r="D179" t="s">
        <v>121</v>
      </c>
      <c r="E179" t="s">
        <v>562</v>
      </c>
      <c r="F179" t="s">
        <v>7</v>
      </c>
      <c r="G179" s="1">
        <v>0</v>
      </c>
      <c r="K179" s="1">
        <v>176</v>
      </c>
      <c r="L179" t="s">
        <v>640</v>
      </c>
      <c r="M179" t="s">
        <v>639</v>
      </c>
      <c r="N179" t="s">
        <v>121</v>
      </c>
      <c r="O179" t="s">
        <v>562</v>
      </c>
      <c r="P179" t="s">
        <v>7</v>
      </c>
      <c r="Q179" s="1">
        <v>0</v>
      </c>
    </row>
    <row r="180" spans="1:17" x14ac:dyDescent="0.35">
      <c r="A180" s="1">
        <f>ROW()-ROW(DATABARANG!$A$3)</f>
        <v>177</v>
      </c>
      <c r="B180" t="s">
        <v>641</v>
      </c>
      <c r="C180" t="s">
        <v>642</v>
      </c>
      <c r="D180" t="s">
        <v>121</v>
      </c>
      <c r="E180" t="s">
        <v>562</v>
      </c>
      <c r="F180" t="s">
        <v>7</v>
      </c>
      <c r="G180" s="1">
        <v>0</v>
      </c>
      <c r="K180" s="1">
        <v>177</v>
      </c>
      <c r="L180" t="s">
        <v>641</v>
      </c>
      <c r="M180" t="s">
        <v>642</v>
      </c>
      <c r="N180" t="s">
        <v>121</v>
      </c>
      <c r="O180" t="s">
        <v>562</v>
      </c>
      <c r="P180" t="s">
        <v>7</v>
      </c>
      <c r="Q180" s="1">
        <v>0</v>
      </c>
    </row>
    <row r="181" spans="1:17" x14ac:dyDescent="0.35">
      <c r="A181" s="1">
        <f>ROW()-ROW(DATABARANG!$A$3)</f>
        <v>178</v>
      </c>
      <c r="B181" t="s">
        <v>643</v>
      </c>
      <c r="C181" t="s">
        <v>644</v>
      </c>
      <c r="D181" t="s">
        <v>147</v>
      </c>
      <c r="E181" t="s">
        <v>562</v>
      </c>
      <c r="F181" t="s">
        <v>7</v>
      </c>
      <c r="G181" s="1">
        <v>0</v>
      </c>
      <c r="K181" s="1">
        <v>178</v>
      </c>
      <c r="L181" t="s">
        <v>643</v>
      </c>
      <c r="M181" t="s">
        <v>644</v>
      </c>
      <c r="N181" t="s">
        <v>147</v>
      </c>
      <c r="O181" t="s">
        <v>562</v>
      </c>
      <c r="P181" t="s">
        <v>7</v>
      </c>
      <c r="Q181" s="1">
        <v>0</v>
      </c>
    </row>
    <row r="182" spans="1:17" x14ac:dyDescent="0.35">
      <c r="A182" s="1">
        <f>ROW()-ROW(DATABARANG!$A$3)</f>
        <v>179</v>
      </c>
      <c r="B182" t="s">
        <v>645</v>
      </c>
      <c r="C182" t="s">
        <v>1333</v>
      </c>
      <c r="D182" t="s">
        <v>121</v>
      </c>
      <c r="E182" t="s">
        <v>562</v>
      </c>
      <c r="F182" t="s">
        <v>7</v>
      </c>
      <c r="G182" s="1">
        <v>3</v>
      </c>
      <c r="K182" s="1">
        <v>179</v>
      </c>
      <c r="L182" t="s">
        <v>645</v>
      </c>
      <c r="M182" t="s">
        <v>1333</v>
      </c>
      <c r="N182" t="s">
        <v>121</v>
      </c>
      <c r="O182" t="s">
        <v>562</v>
      </c>
      <c r="P182" t="s">
        <v>7</v>
      </c>
      <c r="Q182" s="1">
        <v>3</v>
      </c>
    </row>
    <row r="183" spans="1:17" x14ac:dyDescent="0.35">
      <c r="A183" s="1">
        <f>ROW()-ROW(DATABARANG!$A$3)</f>
        <v>180</v>
      </c>
      <c r="B183" t="s">
        <v>647</v>
      </c>
      <c r="C183" t="s">
        <v>648</v>
      </c>
      <c r="D183" t="s">
        <v>94</v>
      </c>
      <c r="E183" t="s">
        <v>41</v>
      </c>
      <c r="F183" t="s">
        <v>7</v>
      </c>
      <c r="G183" s="1">
        <v>0</v>
      </c>
      <c r="K183" s="1">
        <v>180</v>
      </c>
      <c r="L183" t="s">
        <v>647</v>
      </c>
      <c r="M183" t="s">
        <v>648</v>
      </c>
      <c r="N183" t="s">
        <v>94</v>
      </c>
      <c r="O183" t="s">
        <v>41</v>
      </c>
      <c r="P183" t="s">
        <v>7</v>
      </c>
      <c r="Q183" s="1">
        <v>0</v>
      </c>
    </row>
    <row r="184" spans="1:17" x14ac:dyDescent="0.35">
      <c r="A184" s="1">
        <f>ROW()-ROW(DATABARANG!$A$3)</f>
        <v>181</v>
      </c>
      <c r="B184" t="s">
        <v>649</v>
      </c>
      <c r="C184" t="s">
        <v>650</v>
      </c>
      <c r="D184" t="s">
        <v>76</v>
      </c>
      <c r="E184" t="s">
        <v>30</v>
      </c>
      <c r="F184" t="s">
        <v>7</v>
      </c>
      <c r="G184" s="1">
        <v>0</v>
      </c>
      <c r="K184" s="1">
        <v>181</v>
      </c>
      <c r="L184" t="s">
        <v>649</v>
      </c>
      <c r="M184" t="s">
        <v>650</v>
      </c>
      <c r="N184" t="s">
        <v>76</v>
      </c>
      <c r="O184" t="s">
        <v>30</v>
      </c>
      <c r="P184" t="s">
        <v>7</v>
      </c>
      <c r="Q184" s="1">
        <v>0</v>
      </c>
    </row>
    <row r="185" spans="1:17" x14ac:dyDescent="0.35">
      <c r="A185" s="1">
        <f>ROW()-ROW(DATABARANG!$A$3)</f>
        <v>182</v>
      </c>
      <c r="B185" t="s">
        <v>651</v>
      </c>
      <c r="C185" t="s">
        <v>652</v>
      </c>
      <c r="D185" t="s">
        <v>76</v>
      </c>
      <c r="E185" t="s">
        <v>30</v>
      </c>
      <c r="F185" t="s">
        <v>7</v>
      </c>
      <c r="G185" s="1">
        <v>2</v>
      </c>
      <c r="K185" s="1">
        <v>182</v>
      </c>
      <c r="L185" t="s">
        <v>651</v>
      </c>
      <c r="M185" t="s">
        <v>652</v>
      </c>
      <c r="N185" t="s">
        <v>76</v>
      </c>
      <c r="O185" t="s">
        <v>30</v>
      </c>
      <c r="P185" t="s">
        <v>7</v>
      </c>
      <c r="Q185" s="1">
        <v>2</v>
      </c>
    </row>
    <row r="186" spans="1:17" x14ac:dyDescent="0.35">
      <c r="A186" s="1">
        <f>ROW()-ROW(DATABARANG!$A$3)</f>
        <v>183</v>
      </c>
      <c r="B186" t="s">
        <v>653</v>
      </c>
      <c r="C186" t="s">
        <v>654</v>
      </c>
      <c r="D186" t="s">
        <v>76</v>
      </c>
      <c r="E186" t="s">
        <v>30</v>
      </c>
      <c r="F186" t="s">
        <v>7</v>
      </c>
      <c r="G186" s="1">
        <v>0</v>
      </c>
      <c r="K186" s="1">
        <v>183</v>
      </c>
      <c r="L186" t="s">
        <v>653</v>
      </c>
      <c r="M186" t="s">
        <v>654</v>
      </c>
      <c r="N186" t="s">
        <v>76</v>
      </c>
      <c r="O186" t="s">
        <v>30</v>
      </c>
      <c r="P186" t="s">
        <v>7</v>
      </c>
      <c r="Q186" s="1">
        <v>0</v>
      </c>
    </row>
    <row r="187" spans="1:17" x14ac:dyDescent="0.35">
      <c r="A187" s="1">
        <f>ROW()-ROW(DATABARANG!$A$3)</f>
        <v>184</v>
      </c>
      <c r="B187" t="s">
        <v>655</v>
      </c>
      <c r="C187" t="s">
        <v>656</v>
      </c>
      <c r="D187" t="s">
        <v>76</v>
      </c>
      <c r="E187" t="s">
        <v>30</v>
      </c>
      <c r="F187" t="s">
        <v>7</v>
      </c>
      <c r="G187" s="1">
        <v>0</v>
      </c>
      <c r="K187" s="1">
        <v>184</v>
      </c>
      <c r="L187" t="s">
        <v>655</v>
      </c>
      <c r="M187" t="s">
        <v>656</v>
      </c>
      <c r="N187" t="s">
        <v>76</v>
      </c>
      <c r="O187" t="s">
        <v>30</v>
      </c>
      <c r="P187" t="s">
        <v>7</v>
      </c>
      <c r="Q187" s="1">
        <v>0</v>
      </c>
    </row>
    <row r="188" spans="1:17" x14ac:dyDescent="0.35">
      <c r="A188" s="1">
        <f>ROW()-ROW(DATABARANG!$A$3)</f>
        <v>185</v>
      </c>
      <c r="B188" t="s">
        <v>657</v>
      </c>
      <c r="C188" t="s">
        <v>658</v>
      </c>
      <c r="D188" t="s">
        <v>76</v>
      </c>
      <c r="E188" t="s">
        <v>30</v>
      </c>
      <c r="F188" t="s">
        <v>7</v>
      </c>
      <c r="G188" s="1">
        <v>0</v>
      </c>
      <c r="K188" s="1">
        <v>185</v>
      </c>
      <c r="L188" t="s">
        <v>657</v>
      </c>
      <c r="M188" t="s">
        <v>658</v>
      </c>
      <c r="N188" t="s">
        <v>76</v>
      </c>
      <c r="O188" t="s">
        <v>30</v>
      </c>
      <c r="P188" t="s">
        <v>7</v>
      </c>
      <c r="Q188" s="1">
        <v>0</v>
      </c>
    </row>
    <row r="189" spans="1:17" x14ac:dyDescent="0.35">
      <c r="A189" s="1">
        <f>ROW()-ROW(DATABARANG!$A$3)</f>
        <v>186</v>
      </c>
      <c r="B189" t="s">
        <v>659</v>
      </c>
      <c r="C189" t="s">
        <v>660</v>
      </c>
      <c r="D189" t="s">
        <v>121</v>
      </c>
      <c r="E189" t="s">
        <v>562</v>
      </c>
      <c r="F189" t="s">
        <v>7</v>
      </c>
      <c r="G189" s="1">
        <v>0</v>
      </c>
      <c r="K189" s="1">
        <v>186</v>
      </c>
      <c r="L189" t="s">
        <v>659</v>
      </c>
      <c r="M189" t="s">
        <v>660</v>
      </c>
      <c r="N189" t="s">
        <v>121</v>
      </c>
      <c r="O189" t="s">
        <v>562</v>
      </c>
      <c r="P189" t="s">
        <v>7</v>
      </c>
      <c r="Q189" s="1">
        <v>0</v>
      </c>
    </row>
    <row r="190" spans="1:17" x14ac:dyDescent="0.35">
      <c r="A190" s="1">
        <f>ROW()-ROW(DATABARANG!$A$3)</f>
        <v>187</v>
      </c>
      <c r="B190" t="s">
        <v>661</v>
      </c>
      <c r="C190" t="s">
        <v>662</v>
      </c>
      <c r="D190" t="s">
        <v>121</v>
      </c>
      <c r="E190" t="s">
        <v>562</v>
      </c>
      <c r="F190" t="s">
        <v>7</v>
      </c>
      <c r="G190" s="1">
        <v>0</v>
      </c>
      <c r="K190" s="1">
        <v>187</v>
      </c>
      <c r="L190" t="s">
        <v>661</v>
      </c>
      <c r="M190" t="s">
        <v>662</v>
      </c>
      <c r="N190" t="s">
        <v>121</v>
      </c>
      <c r="O190" t="s">
        <v>562</v>
      </c>
      <c r="P190" t="s">
        <v>7</v>
      </c>
      <c r="Q190" s="1">
        <v>0</v>
      </c>
    </row>
    <row r="191" spans="1:17" x14ac:dyDescent="0.35">
      <c r="A191" s="1">
        <f>ROW()-ROW(DATABARANG!$A$3)</f>
        <v>188</v>
      </c>
      <c r="B191" t="s">
        <v>663</v>
      </c>
      <c r="C191" t="s">
        <v>664</v>
      </c>
      <c r="D191" t="s">
        <v>40</v>
      </c>
      <c r="E191" t="s">
        <v>562</v>
      </c>
      <c r="F191" t="s">
        <v>7</v>
      </c>
      <c r="G191" s="1">
        <v>1</v>
      </c>
      <c r="K191" s="1">
        <v>188</v>
      </c>
      <c r="L191" t="s">
        <v>663</v>
      </c>
      <c r="M191" t="s">
        <v>664</v>
      </c>
      <c r="N191" t="s">
        <v>40</v>
      </c>
      <c r="O191" t="s">
        <v>562</v>
      </c>
      <c r="P191" t="s">
        <v>7</v>
      </c>
      <c r="Q191" s="1">
        <v>1</v>
      </c>
    </row>
    <row r="192" spans="1:17" x14ac:dyDescent="0.35">
      <c r="A192" s="1">
        <f>ROW()-ROW(DATABARANG!$A$3)</f>
        <v>189</v>
      </c>
      <c r="B192" t="s">
        <v>665</v>
      </c>
      <c r="C192" t="s">
        <v>666</v>
      </c>
      <c r="D192" t="s">
        <v>115</v>
      </c>
      <c r="E192" t="s">
        <v>41</v>
      </c>
      <c r="F192" t="s">
        <v>7</v>
      </c>
      <c r="G192" s="1">
        <v>1</v>
      </c>
      <c r="K192" s="1">
        <v>189</v>
      </c>
      <c r="L192" t="s">
        <v>665</v>
      </c>
      <c r="M192" t="s">
        <v>666</v>
      </c>
      <c r="N192" t="s">
        <v>115</v>
      </c>
      <c r="O192" t="s">
        <v>41</v>
      </c>
      <c r="P192" t="s">
        <v>7</v>
      </c>
      <c r="Q192" s="1">
        <v>1</v>
      </c>
    </row>
    <row r="193" spans="1:17" x14ac:dyDescent="0.35">
      <c r="A193" s="1">
        <f>ROW()-ROW(DATABARANG!$A$3)</f>
        <v>190</v>
      </c>
      <c r="B193" t="s">
        <v>667</v>
      </c>
      <c r="C193" t="s">
        <v>668</v>
      </c>
      <c r="D193" t="s">
        <v>112</v>
      </c>
      <c r="E193" t="s">
        <v>41</v>
      </c>
      <c r="F193" t="s">
        <v>7</v>
      </c>
      <c r="G193" s="1">
        <v>0</v>
      </c>
      <c r="K193" s="1">
        <v>190</v>
      </c>
      <c r="L193" t="s">
        <v>667</v>
      </c>
      <c r="M193" t="s">
        <v>668</v>
      </c>
      <c r="N193" t="s">
        <v>112</v>
      </c>
      <c r="O193" t="s">
        <v>41</v>
      </c>
      <c r="P193" t="s">
        <v>7</v>
      </c>
      <c r="Q193" s="1">
        <v>0</v>
      </c>
    </row>
    <row r="194" spans="1:17" x14ac:dyDescent="0.35">
      <c r="A194" s="1">
        <f>ROW()-ROW(DATABARANG!$A$3)</f>
        <v>191</v>
      </c>
      <c r="B194" t="s">
        <v>669</v>
      </c>
      <c r="C194" t="s">
        <v>670</v>
      </c>
      <c r="D194" t="s">
        <v>112</v>
      </c>
      <c r="E194" t="s">
        <v>41</v>
      </c>
      <c r="F194" t="s">
        <v>7</v>
      </c>
      <c r="G194" s="1">
        <v>0</v>
      </c>
      <c r="K194" s="1">
        <v>191</v>
      </c>
      <c r="L194" t="s">
        <v>669</v>
      </c>
      <c r="M194" t="s">
        <v>670</v>
      </c>
      <c r="N194" t="s">
        <v>112</v>
      </c>
      <c r="O194" t="s">
        <v>41</v>
      </c>
      <c r="P194" t="s">
        <v>7</v>
      </c>
      <c r="Q194" s="1">
        <v>0</v>
      </c>
    </row>
    <row r="195" spans="1:17" x14ac:dyDescent="0.35">
      <c r="A195" s="1">
        <f>ROW()-ROW(DATABARANG!$A$3)</f>
        <v>192</v>
      </c>
      <c r="B195" t="s">
        <v>671</v>
      </c>
      <c r="C195" t="s">
        <v>672</v>
      </c>
      <c r="D195" t="s">
        <v>115</v>
      </c>
      <c r="E195" t="s">
        <v>30</v>
      </c>
      <c r="F195" t="s">
        <v>7</v>
      </c>
      <c r="G195" s="1">
        <v>0</v>
      </c>
      <c r="K195" s="1">
        <v>192</v>
      </c>
      <c r="L195" t="s">
        <v>671</v>
      </c>
      <c r="M195" t="s">
        <v>672</v>
      </c>
      <c r="N195" t="s">
        <v>115</v>
      </c>
      <c r="O195" t="s">
        <v>30</v>
      </c>
      <c r="P195" t="s">
        <v>7</v>
      </c>
      <c r="Q195" s="1">
        <v>0</v>
      </c>
    </row>
    <row r="196" spans="1:17" x14ac:dyDescent="0.35">
      <c r="A196" s="1">
        <f>ROW()-ROW(DATABARANG!$A$3)</f>
        <v>193</v>
      </c>
      <c r="B196" t="s">
        <v>673</v>
      </c>
      <c r="C196" t="s">
        <v>674</v>
      </c>
      <c r="D196" t="s">
        <v>121</v>
      </c>
      <c r="E196" t="s">
        <v>30</v>
      </c>
      <c r="F196" t="s">
        <v>7</v>
      </c>
      <c r="G196" s="1">
        <v>0</v>
      </c>
      <c r="K196" s="1">
        <v>193</v>
      </c>
      <c r="L196" t="s">
        <v>673</v>
      </c>
      <c r="M196" t="s">
        <v>674</v>
      </c>
      <c r="N196" t="s">
        <v>121</v>
      </c>
      <c r="O196" t="s">
        <v>30</v>
      </c>
      <c r="P196" t="s">
        <v>7</v>
      </c>
      <c r="Q196" s="1">
        <v>0</v>
      </c>
    </row>
    <row r="197" spans="1:17" x14ac:dyDescent="0.35">
      <c r="A197" s="1">
        <f>ROW()-ROW(DATABARANG!$A$3)</f>
        <v>194</v>
      </c>
      <c r="B197" t="s">
        <v>675</v>
      </c>
      <c r="C197" t="s">
        <v>676</v>
      </c>
      <c r="D197" t="s">
        <v>121</v>
      </c>
      <c r="E197" t="s">
        <v>30</v>
      </c>
      <c r="F197" t="s">
        <v>7</v>
      </c>
      <c r="G197" s="1">
        <v>0</v>
      </c>
      <c r="K197" s="1">
        <v>194</v>
      </c>
      <c r="L197" t="s">
        <v>675</v>
      </c>
      <c r="M197" t="s">
        <v>676</v>
      </c>
      <c r="N197" t="s">
        <v>121</v>
      </c>
      <c r="O197" t="s">
        <v>30</v>
      </c>
      <c r="P197" t="s">
        <v>7</v>
      </c>
      <c r="Q197" s="1">
        <v>0</v>
      </c>
    </row>
    <row r="198" spans="1:17" x14ac:dyDescent="0.35">
      <c r="A198" s="1">
        <f>ROW()-ROW(DATABARANG!$A$3)</f>
        <v>195</v>
      </c>
      <c r="B198" t="s">
        <v>677</v>
      </c>
      <c r="C198" t="s">
        <v>678</v>
      </c>
      <c r="D198" t="s">
        <v>121</v>
      </c>
      <c r="E198" t="s">
        <v>30</v>
      </c>
      <c r="F198" t="s">
        <v>7</v>
      </c>
      <c r="G198" s="1">
        <v>0</v>
      </c>
      <c r="K198" s="1">
        <v>195</v>
      </c>
      <c r="L198" t="s">
        <v>677</v>
      </c>
      <c r="M198" t="s">
        <v>678</v>
      </c>
      <c r="N198" t="s">
        <v>121</v>
      </c>
      <c r="O198" t="s">
        <v>30</v>
      </c>
      <c r="P198" t="s">
        <v>7</v>
      </c>
      <c r="Q198" s="1">
        <v>0</v>
      </c>
    </row>
    <row r="199" spans="1:17" x14ac:dyDescent="0.35">
      <c r="A199" s="1">
        <f>ROW()-ROW(DATABARANG!$A$3)</f>
        <v>196</v>
      </c>
      <c r="B199" t="s">
        <v>679</v>
      </c>
      <c r="C199" t="s">
        <v>680</v>
      </c>
      <c r="D199" t="s">
        <v>151</v>
      </c>
      <c r="E199" t="s">
        <v>41</v>
      </c>
      <c r="F199" t="s">
        <v>7</v>
      </c>
      <c r="G199" s="1">
        <v>0</v>
      </c>
      <c r="K199" s="1">
        <v>196</v>
      </c>
      <c r="L199" t="s">
        <v>679</v>
      </c>
      <c r="M199" t="s">
        <v>680</v>
      </c>
      <c r="N199" t="s">
        <v>151</v>
      </c>
      <c r="O199" t="s">
        <v>41</v>
      </c>
      <c r="P199" t="s">
        <v>7</v>
      </c>
      <c r="Q199" s="1">
        <v>0</v>
      </c>
    </row>
    <row r="200" spans="1:17" x14ac:dyDescent="0.35">
      <c r="A200" s="1">
        <f>ROW()-ROW(DATABARANG!$A$3)</f>
        <v>197</v>
      </c>
      <c r="B200" t="s">
        <v>681</v>
      </c>
      <c r="C200" t="s">
        <v>682</v>
      </c>
      <c r="D200" t="s">
        <v>40</v>
      </c>
      <c r="E200" t="s">
        <v>106</v>
      </c>
      <c r="F200" t="s">
        <v>7</v>
      </c>
      <c r="G200" s="1">
        <v>0</v>
      </c>
      <c r="K200" s="1">
        <v>197</v>
      </c>
      <c r="L200" t="s">
        <v>681</v>
      </c>
      <c r="M200" t="s">
        <v>682</v>
      </c>
      <c r="N200" t="s">
        <v>40</v>
      </c>
      <c r="O200" t="s">
        <v>106</v>
      </c>
      <c r="P200" t="s">
        <v>7</v>
      </c>
      <c r="Q200" s="1">
        <v>0</v>
      </c>
    </row>
    <row r="201" spans="1:17" x14ac:dyDescent="0.35">
      <c r="A201" s="1">
        <f>ROW()-ROW(DATABARANG!$A$3)</f>
        <v>198</v>
      </c>
      <c r="B201" t="s">
        <v>683</v>
      </c>
      <c r="C201" t="s">
        <v>684</v>
      </c>
      <c r="D201" t="s">
        <v>151</v>
      </c>
      <c r="E201" t="s">
        <v>304</v>
      </c>
      <c r="F201" t="s">
        <v>7</v>
      </c>
      <c r="G201" s="1">
        <v>2</v>
      </c>
      <c r="K201" s="1">
        <v>198</v>
      </c>
      <c r="L201" t="s">
        <v>683</v>
      </c>
      <c r="M201" t="s">
        <v>684</v>
      </c>
      <c r="N201" t="s">
        <v>151</v>
      </c>
      <c r="O201" t="s">
        <v>304</v>
      </c>
      <c r="P201" t="s">
        <v>7</v>
      </c>
      <c r="Q201" s="1">
        <v>2</v>
      </c>
    </row>
    <row r="202" spans="1:17" x14ac:dyDescent="0.35">
      <c r="A202" s="1">
        <f>ROW()-ROW(DATABARANG!$A$3)</f>
        <v>199</v>
      </c>
      <c r="B202" t="s">
        <v>685</v>
      </c>
      <c r="C202" t="s">
        <v>686</v>
      </c>
      <c r="D202" t="s">
        <v>89</v>
      </c>
      <c r="E202" t="s">
        <v>304</v>
      </c>
      <c r="F202" t="s">
        <v>7</v>
      </c>
      <c r="G202" s="1">
        <v>0</v>
      </c>
      <c r="K202" s="1">
        <v>199</v>
      </c>
      <c r="L202" t="s">
        <v>685</v>
      </c>
      <c r="M202" t="s">
        <v>686</v>
      </c>
      <c r="N202" t="s">
        <v>89</v>
      </c>
      <c r="O202" t="s">
        <v>304</v>
      </c>
      <c r="P202" t="s">
        <v>7</v>
      </c>
      <c r="Q202" s="1">
        <v>0</v>
      </c>
    </row>
    <row r="203" spans="1:17" x14ac:dyDescent="0.35">
      <c r="A203" s="1">
        <f>ROW()-ROW(DATABARANG!$A$3)</f>
        <v>200</v>
      </c>
      <c r="B203" t="s">
        <v>739</v>
      </c>
      <c r="C203" t="s">
        <v>740</v>
      </c>
      <c r="D203" t="s">
        <v>112</v>
      </c>
      <c r="E203" t="s">
        <v>106</v>
      </c>
      <c r="F203" t="s">
        <v>7</v>
      </c>
      <c r="G203" s="1">
        <v>0</v>
      </c>
      <c r="K203" s="1">
        <v>200</v>
      </c>
      <c r="L203" t="s">
        <v>739</v>
      </c>
      <c r="M203" t="s">
        <v>740</v>
      </c>
      <c r="N203" t="s">
        <v>112</v>
      </c>
      <c r="O203" t="s">
        <v>106</v>
      </c>
      <c r="P203" t="s">
        <v>7</v>
      </c>
      <c r="Q203" s="1">
        <v>0</v>
      </c>
    </row>
    <row r="204" spans="1:17" x14ac:dyDescent="0.35">
      <c r="A204" s="1">
        <f>ROW()-ROW(DATABARANG!$A$3)</f>
        <v>201</v>
      </c>
      <c r="B204" t="s">
        <v>741</v>
      </c>
      <c r="C204" t="s">
        <v>742</v>
      </c>
      <c r="D204" t="s">
        <v>112</v>
      </c>
      <c r="E204" t="s">
        <v>106</v>
      </c>
      <c r="F204" t="s">
        <v>7</v>
      </c>
      <c r="G204" s="1">
        <v>0</v>
      </c>
      <c r="K204" s="1">
        <v>201</v>
      </c>
      <c r="L204" t="s">
        <v>741</v>
      </c>
      <c r="M204" t="s">
        <v>742</v>
      </c>
      <c r="N204" t="s">
        <v>112</v>
      </c>
      <c r="O204" t="s">
        <v>106</v>
      </c>
      <c r="P204" t="s">
        <v>7</v>
      </c>
      <c r="Q204" s="1">
        <v>0</v>
      </c>
    </row>
    <row r="205" spans="1:17" x14ac:dyDescent="0.35">
      <c r="A205" s="1">
        <f>ROW()-ROW(DATABARANG!$A$3)</f>
        <v>202</v>
      </c>
      <c r="B205" t="s">
        <v>743</v>
      </c>
      <c r="C205" t="s">
        <v>744</v>
      </c>
      <c r="D205" t="s">
        <v>112</v>
      </c>
      <c r="E205" t="s">
        <v>304</v>
      </c>
      <c r="F205" t="s">
        <v>7</v>
      </c>
      <c r="G205" s="1">
        <v>1</v>
      </c>
      <c r="K205" s="1">
        <v>202</v>
      </c>
      <c r="L205" t="s">
        <v>743</v>
      </c>
      <c r="M205" t="s">
        <v>744</v>
      </c>
      <c r="N205" t="s">
        <v>112</v>
      </c>
      <c r="O205" t="s">
        <v>304</v>
      </c>
      <c r="P205" t="s">
        <v>7</v>
      </c>
      <c r="Q205" s="1">
        <v>1</v>
      </c>
    </row>
    <row r="206" spans="1:17" x14ac:dyDescent="0.35">
      <c r="A206" s="1">
        <f>ROW()-ROW(DATABARANG!$A$3)</f>
        <v>203</v>
      </c>
      <c r="B206" t="s">
        <v>745</v>
      </c>
      <c r="C206" t="s">
        <v>746</v>
      </c>
      <c r="D206" t="s">
        <v>112</v>
      </c>
      <c r="E206" t="s">
        <v>304</v>
      </c>
      <c r="F206" t="s">
        <v>7</v>
      </c>
      <c r="G206" s="1">
        <v>0</v>
      </c>
      <c r="K206" s="1">
        <v>203</v>
      </c>
      <c r="L206" t="s">
        <v>745</v>
      </c>
      <c r="M206" t="s">
        <v>746</v>
      </c>
      <c r="N206" t="s">
        <v>112</v>
      </c>
      <c r="O206" t="s">
        <v>304</v>
      </c>
      <c r="P206" t="s">
        <v>7</v>
      </c>
      <c r="Q206" s="1">
        <v>0</v>
      </c>
    </row>
    <row r="207" spans="1:17" x14ac:dyDescent="0.35">
      <c r="A207" s="1">
        <f>ROW()-ROW(DATABARANG!$A$3)</f>
        <v>204</v>
      </c>
      <c r="B207" t="s">
        <v>760</v>
      </c>
      <c r="C207" t="s">
        <v>759</v>
      </c>
      <c r="D207" t="s">
        <v>147</v>
      </c>
      <c r="E207" t="s">
        <v>562</v>
      </c>
      <c r="F207" t="s">
        <v>7</v>
      </c>
      <c r="G207" s="1">
        <v>0</v>
      </c>
      <c r="K207" s="1">
        <v>204</v>
      </c>
      <c r="L207" t="s">
        <v>760</v>
      </c>
      <c r="M207" t="s">
        <v>759</v>
      </c>
      <c r="N207" t="s">
        <v>147</v>
      </c>
      <c r="O207" t="s">
        <v>562</v>
      </c>
      <c r="P207" t="s">
        <v>7</v>
      </c>
      <c r="Q207" s="1">
        <v>0</v>
      </c>
    </row>
    <row r="208" spans="1:17" x14ac:dyDescent="0.35">
      <c r="A208" s="1">
        <f>ROW()-ROW(DATABARANG!$A$3)</f>
        <v>205</v>
      </c>
      <c r="B208" t="s">
        <v>763</v>
      </c>
      <c r="C208" t="s">
        <v>764</v>
      </c>
      <c r="D208" t="s">
        <v>765</v>
      </c>
      <c r="E208" t="s">
        <v>106</v>
      </c>
      <c r="F208" t="s">
        <v>7</v>
      </c>
      <c r="G208" s="1">
        <v>0</v>
      </c>
      <c r="K208" s="1">
        <v>205</v>
      </c>
      <c r="L208" t="s">
        <v>763</v>
      </c>
      <c r="M208" t="s">
        <v>764</v>
      </c>
      <c r="N208" t="s">
        <v>765</v>
      </c>
      <c r="O208" t="s">
        <v>106</v>
      </c>
      <c r="P208" t="s">
        <v>7</v>
      </c>
      <c r="Q208" s="1">
        <v>0</v>
      </c>
    </row>
    <row r="209" spans="1:17" x14ac:dyDescent="0.35">
      <c r="A209" s="1">
        <f>ROW()-ROW(DATABARANG!$A$3)</f>
        <v>206</v>
      </c>
      <c r="B209" t="s">
        <v>781</v>
      </c>
      <c r="C209" t="s">
        <v>782</v>
      </c>
      <c r="D209" t="s">
        <v>783</v>
      </c>
      <c r="E209" t="s">
        <v>30</v>
      </c>
      <c r="F209" t="s">
        <v>7</v>
      </c>
      <c r="G209" s="1">
        <v>0</v>
      </c>
      <c r="K209" s="1">
        <v>206</v>
      </c>
      <c r="L209" t="s">
        <v>781</v>
      </c>
      <c r="M209" t="s">
        <v>782</v>
      </c>
      <c r="N209" t="s">
        <v>783</v>
      </c>
      <c r="O209" t="s">
        <v>30</v>
      </c>
      <c r="P209" t="s">
        <v>7</v>
      </c>
      <c r="Q209" s="1">
        <v>0</v>
      </c>
    </row>
    <row r="210" spans="1:17" x14ac:dyDescent="0.35">
      <c r="A210" s="1">
        <f>ROW()-ROW(DATABARANG!$A$3)</f>
        <v>207</v>
      </c>
      <c r="B210" t="s">
        <v>786</v>
      </c>
      <c r="C210" t="s">
        <v>787</v>
      </c>
      <c r="D210" t="s">
        <v>510</v>
      </c>
      <c r="E210" t="s">
        <v>30</v>
      </c>
      <c r="F210" t="s">
        <v>7</v>
      </c>
      <c r="G210" s="1">
        <v>0</v>
      </c>
      <c r="K210" s="1">
        <v>207</v>
      </c>
      <c r="L210" t="s">
        <v>786</v>
      </c>
      <c r="M210" t="s">
        <v>787</v>
      </c>
      <c r="N210" t="s">
        <v>510</v>
      </c>
      <c r="O210" t="s">
        <v>30</v>
      </c>
      <c r="P210" t="s">
        <v>7</v>
      </c>
      <c r="Q210" s="1">
        <v>0</v>
      </c>
    </row>
    <row r="211" spans="1:17" x14ac:dyDescent="0.35">
      <c r="A211" s="1">
        <f>ROW()-ROW(DATABARANG!$A$3)</f>
        <v>208</v>
      </c>
      <c r="B211" t="s">
        <v>788</v>
      </c>
      <c r="C211" t="s">
        <v>789</v>
      </c>
      <c r="D211" t="s">
        <v>510</v>
      </c>
      <c r="E211" t="s">
        <v>30</v>
      </c>
      <c r="F211" t="s">
        <v>7</v>
      </c>
      <c r="G211" s="1">
        <v>0</v>
      </c>
      <c r="K211" s="1">
        <v>208</v>
      </c>
      <c r="L211" t="s">
        <v>788</v>
      </c>
      <c r="M211" t="s">
        <v>789</v>
      </c>
      <c r="N211" t="s">
        <v>510</v>
      </c>
      <c r="O211" t="s">
        <v>30</v>
      </c>
      <c r="P211" t="s">
        <v>7</v>
      </c>
      <c r="Q211" s="1">
        <v>0</v>
      </c>
    </row>
    <row r="212" spans="1:17" x14ac:dyDescent="0.35">
      <c r="A212" s="1">
        <f>ROW()-ROW(DATABARANG!$A$3)</f>
        <v>209</v>
      </c>
      <c r="B212" t="s">
        <v>790</v>
      </c>
      <c r="C212" t="s">
        <v>791</v>
      </c>
      <c r="D212" t="s">
        <v>510</v>
      </c>
      <c r="E212" t="s">
        <v>30</v>
      </c>
      <c r="F212" t="s">
        <v>7</v>
      </c>
      <c r="G212" s="1">
        <v>0</v>
      </c>
      <c r="K212" s="1">
        <v>209</v>
      </c>
      <c r="L212" t="s">
        <v>790</v>
      </c>
      <c r="M212" t="s">
        <v>791</v>
      </c>
      <c r="N212" t="s">
        <v>510</v>
      </c>
      <c r="O212" t="s">
        <v>30</v>
      </c>
      <c r="P212" t="s">
        <v>7</v>
      </c>
      <c r="Q212" s="1">
        <v>0</v>
      </c>
    </row>
    <row r="213" spans="1:17" x14ac:dyDescent="0.35">
      <c r="A213" s="1">
        <f>ROW()-ROW(DATABARANG!$A$3)</f>
        <v>210</v>
      </c>
      <c r="B213" t="s">
        <v>792</v>
      </c>
      <c r="C213" t="s">
        <v>793</v>
      </c>
      <c r="D213" t="s">
        <v>510</v>
      </c>
      <c r="E213" t="s">
        <v>30</v>
      </c>
      <c r="F213" t="s">
        <v>7</v>
      </c>
      <c r="G213" s="1">
        <v>0</v>
      </c>
      <c r="K213" s="1">
        <v>210</v>
      </c>
      <c r="L213" t="s">
        <v>792</v>
      </c>
      <c r="M213" t="s">
        <v>793</v>
      </c>
      <c r="N213" t="s">
        <v>510</v>
      </c>
      <c r="O213" t="s">
        <v>30</v>
      </c>
      <c r="P213" t="s">
        <v>7</v>
      </c>
      <c r="Q213" s="1">
        <v>0</v>
      </c>
    </row>
    <row r="214" spans="1:17" x14ac:dyDescent="0.35">
      <c r="A214" s="1">
        <f>ROW()-ROW(DATABARANG!$A$3)</f>
        <v>211</v>
      </c>
      <c r="B214" t="s">
        <v>857</v>
      </c>
      <c r="C214" t="s">
        <v>858</v>
      </c>
      <c r="D214" t="s">
        <v>121</v>
      </c>
      <c r="E214" t="s">
        <v>562</v>
      </c>
      <c r="F214" t="s">
        <v>7</v>
      </c>
      <c r="G214" s="1">
        <v>0</v>
      </c>
      <c r="K214" s="1">
        <v>211</v>
      </c>
      <c r="L214" t="s">
        <v>857</v>
      </c>
      <c r="M214" t="s">
        <v>858</v>
      </c>
      <c r="N214" t="s">
        <v>121</v>
      </c>
      <c r="O214" t="s">
        <v>562</v>
      </c>
      <c r="P214" t="s">
        <v>7</v>
      </c>
      <c r="Q214" s="1">
        <v>0</v>
      </c>
    </row>
    <row r="215" spans="1:17" x14ac:dyDescent="0.35">
      <c r="A215" s="1">
        <f>ROW()-ROW(DATABARANG!$A$3)</f>
        <v>212</v>
      </c>
      <c r="B215" t="s">
        <v>859</v>
      </c>
      <c r="C215" t="s">
        <v>1332</v>
      </c>
      <c r="D215" t="s">
        <v>121</v>
      </c>
      <c r="E215" t="s">
        <v>562</v>
      </c>
      <c r="F215" t="s">
        <v>7</v>
      </c>
      <c r="G215" s="1">
        <v>0</v>
      </c>
      <c r="K215" s="1">
        <v>212</v>
      </c>
      <c r="L215" t="s">
        <v>859</v>
      </c>
      <c r="M215" t="s">
        <v>1332</v>
      </c>
      <c r="N215" t="s">
        <v>121</v>
      </c>
      <c r="O215" t="s">
        <v>562</v>
      </c>
      <c r="P215" t="s">
        <v>7</v>
      </c>
      <c r="Q215" s="1">
        <v>0</v>
      </c>
    </row>
    <row r="216" spans="1:17" x14ac:dyDescent="0.35">
      <c r="A216" s="1">
        <f>ROW()-ROW(DATABARANG!$A$3)</f>
        <v>213</v>
      </c>
      <c r="B216" t="s">
        <v>861</v>
      </c>
      <c r="C216" t="s">
        <v>862</v>
      </c>
      <c r="D216" t="s">
        <v>121</v>
      </c>
      <c r="E216" t="s">
        <v>562</v>
      </c>
      <c r="F216" t="s">
        <v>7</v>
      </c>
      <c r="G216" s="1">
        <v>14</v>
      </c>
      <c r="K216" s="1">
        <v>213</v>
      </c>
      <c r="L216" t="s">
        <v>861</v>
      </c>
      <c r="M216" t="s">
        <v>862</v>
      </c>
      <c r="N216" t="s">
        <v>121</v>
      </c>
      <c r="O216" t="s">
        <v>562</v>
      </c>
      <c r="P216" t="s">
        <v>7</v>
      </c>
      <c r="Q216" s="1">
        <v>14</v>
      </c>
    </row>
    <row r="217" spans="1:17" x14ac:dyDescent="0.35">
      <c r="A217" s="1">
        <f>ROW()-ROW(DATABARANG!$A$3)</f>
        <v>214</v>
      </c>
      <c r="B217" t="s">
        <v>863</v>
      </c>
      <c r="C217" t="s">
        <v>864</v>
      </c>
      <c r="D217" t="s">
        <v>121</v>
      </c>
      <c r="E217" t="s">
        <v>562</v>
      </c>
      <c r="F217" t="s">
        <v>7</v>
      </c>
      <c r="G217" s="1">
        <v>0</v>
      </c>
      <c r="K217" s="1">
        <v>214</v>
      </c>
      <c r="L217" t="s">
        <v>863</v>
      </c>
      <c r="M217" t="s">
        <v>864</v>
      </c>
      <c r="N217" t="s">
        <v>121</v>
      </c>
      <c r="O217" t="s">
        <v>562</v>
      </c>
      <c r="P217" t="s">
        <v>7</v>
      </c>
      <c r="Q217" s="1">
        <v>0</v>
      </c>
    </row>
    <row r="218" spans="1:17" x14ac:dyDescent="0.35">
      <c r="A218" s="1">
        <f>ROW()-ROW(DATABARANG!$A$3)</f>
        <v>215</v>
      </c>
      <c r="B218" t="s">
        <v>865</v>
      </c>
      <c r="C218" t="s">
        <v>866</v>
      </c>
      <c r="D218" t="s">
        <v>121</v>
      </c>
      <c r="E218" t="s">
        <v>562</v>
      </c>
      <c r="F218" t="s">
        <v>7</v>
      </c>
      <c r="G218" s="1">
        <v>0</v>
      </c>
      <c r="K218" s="1">
        <v>215</v>
      </c>
      <c r="L218" t="s">
        <v>865</v>
      </c>
      <c r="M218" t="s">
        <v>866</v>
      </c>
      <c r="N218" t="s">
        <v>121</v>
      </c>
      <c r="O218" t="s">
        <v>562</v>
      </c>
      <c r="P218" t="s">
        <v>7</v>
      </c>
      <c r="Q218" s="1">
        <v>0</v>
      </c>
    </row>
    <row r="219" spans="1:17" x14ac:dyDescent="0.35">
      <c r="A219" s="1">
        <f>ROW()-ROW(DATABARANG!$A$3)</f>
        <v>216</v>
      </c>
      <c r="B219" t="s">
        <v>867</v>
      </c>
      <c r="C219" t="s">
        <v>868</v>
      </c>
      <c r="D219" t="s">
        <v>94</v>
      </c>
      <c r="E219" t="s">
        <v>106</v>
      </c>
      <c r="F219" t="s">
        <v>7</v>
      </c>
      <c r="G219" s="1">
        <v>0</v>
      </c>
      <c r="K219" s="1">
        <v>216</v>
      </c>
      <c r="L219" t="s">
        <v>867</v>
      </c>
      <c r="M219" t="s">
        <v>868</v>
      </c>
      <c r="N219" t="s">
        <v>94</v>
      </c>
      <c r="O219" t="s">
        <v>106</v>
      </c>
      <c r="P219" t="s">
        <v>7</v>
      </c>
      <c r="Q219" s="1">
        <v>0</v>
      </c>
    </row>
    <row r="220" spans="1:17" x14ac:dyDescent="0.35">
      <c r="A220" s="1">
        <f>ROW()-ROW(DATABARANG!$A$3)</f>
        <v>217</v>
      </c>
      <c r="B220" t="s">
        <v>869</v>
      </c>
      <c r="C220" t="s">
        <v>870</v>
      </c>
      <c r="D220" t="s">
        <v>94</v>
      </c>
      <c r="E220" t="s">
        <v>304</v>
      </c>
      <c r="F220" t="s">
        <v>7</v>
      </c>
      <c r="G220" s="1">
        <v>0</v>
      </c>
      <c r="K220" s="1">
        <v>217</v>
      </c>
      <c r="L220" t="s">
        <v>869</v>
      </c>
      <c r="M220" t="s">
        <v>870</v>
      </c>
      <c r="N220" t="s">
        <v>94</v>
      </c>
      <c r="O220" t="s">
        <v>304</v>
      </c>
      <c r="P220" t="s">
        <v>7</v>
      </c>
      <c r="Q220" s="1">
        <v>0</v>
      </c>
    </row>
    <row r="221" spans="1:17" x14ac:dyDescent="0.35">
      <c r="A221" s="1">
        <f>ROW()-ROW(DATABARANG!$A$3)</f>
        <v>218</v>
      </c>
      <c r="B221" t="s">
        <v>909</v>
      </c>
      <c r="C221" t="s">
        <v>910</v>
      </c>
      <c r="D221" t="s">
        <v>76</v>
      </c>
      <c r="E221" t="s">
        <v>911</v>
      </c>
      <c r="F221" t="s">
        <v>7</v>
      </c>
      <c r="G221" s="1">
        <v>2</v>
      </c>
      <c r="K221" s="1">
        <v>218</v>
      </c>
      <c r="L221" t="s">
        <v>909</v>
      </c>
      <c r="M221" t="s">
        <v>910</v>
      </c>
      <c r="N221" t="s">
        <v>76</v>
      </c>
      <c r="O221" t="s">
        <v>911</v>
      </c>
      <c r="P221" t="s">
        <v>7</v>
      </c>
      <c r="Q221" s="1">
        <v>2</v>
      </c>
    </row>
    <row r="222" spans="1:17" x14ac:dyDescent="0.35">
      <c r="A222" s="1">
        <f>ROW()-ROW(DATABARANG!$A$3)</f>
        <v>219</v>
      </c>
      <c r="B222" t="s">
        <v>927</v>
      </c>
      <c r="C222" t="s">
        <v>928</v>
      </c>
      <c r="D222" t="s">
        <v>200</v>
      </c>
      <c r="E222" t="s">
        <v>47</v>
      </c>
      <c r="F222" t="s">
        <v>7</v>
      </c>
      <c r="G222" s="1">
        <v>5</v>
      </c>
      <c r="K222" s="1">
        <v>219</v>
      </c>
      <c r="L222" t="s">
        <v>927</v>
      </c>
      <c r="M222" t="s">
        <v>928</v>
      </c>
      <c r="N222" t="s">
        <v>200</v>
      </c>
      <c r="O222" t="s">
        <v>47</v>
      </c>
      <c r="P222" t="s">
        <v>7</v>
      </c>
      <c r="Q222" s="1">
        <v>5</v>
      </c>
    </row>
    <row r="223" spans="1:17" x14ac:dyDescent="0.35">
      <c r="A223" s="1">
        <f>ROW()-ROW(DATABARANG!$A$3)</f>
        <v>220</v>
      </c>
      <c r="B223" t="s">
        <v>929</v>
      </c>
      <c r="C223" t="s">
        <v>930</v>
      </c>
      <c r="D223" t="s">
        <v>200</v>
      </c>
      <c r="E223" t="s">
        <v>47</v>
      </c>
      <c r="F223" t="s">
        <v>7</v>
      </c>
      <c r="G223" s="1">
        <v>5</v>
      </c>
      <c r="K223" s="1">
        <v>220</v>
      </c>
      <c r="L223" t="s">
        <v>929</v>
      </c>
      <c r="M223" t="s">
        <v>930</v>
      </c>
      <c r="N223" t="s">
        <v>200</v>
      </c>
      <c r="O223" t="s">
        <v>47</v>
      </c>
      <c r="P223" t="s">
        <v>7</v>
      </c>
      <c r="Q223" s="1">
        <v>5</v>
      </c>
    </row>
    <row r="224" spans="1:17" x14ac:dyDescent="0.35">
      <c r="A224" s="1">
        <f>ROW()-ROW(DATABARANG!$A$3)</f>
        <v>221</v>
      </c>
      <c r="B224" t="s">
        <v>931</v>
      </c>
      <c r="C224" t="s">
        <v>932</v>
      </c>
      <c r="D224" t="s">
        <v>40</v>
      </c>
      <c r="E224" t="s">
        <v>435</v>
      </c>
      <c r="F224" t="s">
        <v>7</v>
      </c>
      <c r="G224" s="1">
        <v>2</v>
      </c>
      <c r="K224" s="1">
        <v>221</v>
      </c>
      <c r="L224" t="s">
        <v>931</v>
      </c>
      <c r="M224" t="s">
        <v>932</v>
      </c>
      <c r="N224" t="s">
        <v>40</v>
      </c>
      <c r="O224" t="s">
        <v>435</v>
      </c>
      <c r="P224" t="s">
        <v>7</v>
      </c>
      <c r="Q224" s="1">
        <v>2</v>
      </c>
    </row>
    <row r="225" spans="1:17" x14ac:dyDescent="0.35">
      <c r="A225" s="1">
        <f>ROW()-ROW(DATABARANG!$A$3)</f>
        <v>222</v>
      </c>
      <c r="B225" t="s">
        <v>936</v>
      </c>
      <c r="C225" t="s">
        <v>937</v>
      </c>
      <c r="D225" t="s">
        <v>510</v>
      </c>
      <c r="E225" t="s">
        <v>35</v>
      </c>
      <c r="F225" t="s">
        <v>7</v>
      </c>
      <c r="G225" s="1">
        <v>6</v>
      </c>
      <c r="K225" s="1">
        <v>222</v>
      </c>
      <c r="L225" t="s">
        <v>936</v>
      </c>
      <c r="M225" t="s">
        <v>937</v>
      </c>
      <c r="N225" t="s">
        <v>510</v>
      </c>
      <c r="O225" t="s">
        <v>35</v>
      </c>
      <c r="P225" t="s">
        <v>7</v>
      </c>
      <c r="Q225" s="1">
        <v>6</v>
      </c>
    </row>
    <row r="226" spans="1:17" x14ac:dyDescent="0.35">
      <c r="A226" s="1">
        <f>ROW()-ROW(DATABARANG!$A$3)</f>
        <v>223</v>
      </c>
      <c r="B226" t="s">
        <v>938</v>
      </c>
      <c r="C226" t="s">
        <v>939</v>
      </c>
      <c r="D226" t="s">
        <v>510</v>
      </c>
      <c r="E226" t="s">
        <v>35</v>
      </c>
      <c r="F226" t="s">
        <v>7</v>
      </c>
      <c r="G226" s="1">
        <v>4</v>
      </c>
      <c r="K226" s="1">
        <v>223</v>
      </c>
      <c r="L226" t="s">
        <v>938</v>
      </c>
      <c r="M226" t="s">
        <v>939</v>
      </c>
      <c r="N226" t="s">
        <v>510</v>
      </c>
      <c r="O226" t="s">
        <v>35</v>
      </c>
      <c r="P226" t="s">
        <v>7</v>
      </c>
      <c r="Q226" s="1">
        <v>4</v>
      </c>
    </row>
    <row r="227" spans="1:17" x14ac:dyDescent="0.35">
      <c r="A227" s="1">
        <f>ROW()-ROW(DATABARANG!$A$3)</f>
        <v>224</v>
      </c>
      <c r="B227" t="s">
        <v>940</v>
      </c>
      <c r="C227" t="s">
        <v>941</v>
      </c>
      <c r="D227" t="s">
        <v>510</v>
      </c>
      <c r="E227" t="s">
        <v>35</v>
      </c>
      <c r="F227" t="s">
        <v>7</v>
      </c>
      <c r="G227" s="1">
        <v>4</v>
      </c>
      <c r="K227" s="1">
        <v>224</v>
      </c>
      <c r="L227" t="s">
        <v>940</v>
      </c>
      <c r="M227" t="s">
        <v>941</v>
      </c>
      <c r="N227" t="s">
        <v>510</v>
      </c>
      <c r="O227" t="s">
        <v>35</v>
      </c>
      <c r="P227" t="s">
        <v>7</v>
      </c>
      <c r="Q227" s="1">
        <v>4</v>
      </c>
    </row>
    <row r="228" spans="1:17" x14ac:dyDescent="0.35">
      <c r="A228" s="1">
        <f>ROW()-ROW(DATABARANG!$A$3)</f>
        <v>225</v>
      </c>
      <c r="B228" t="s">
        <v>942</v>
      </c>
      <c r="C228" t="s">
        <v>943</v>
      </c>
      <c r="D228" t="s">
        <v>510</v>
      </c>
      <c r="E228" t="s">
        <v>35</v>
      </c>
      <c r="F228" t="s">
        <v>7</v>
      </c>
      <c r="G228" s="1">
        <v>4</v>
      </c>
      <c r="K228" s="1">
        <v>225</v>
      </c>
      <c r="L228" t="s">
        <v>942</v>
      </c>
      <c r="M228" t="s">
        <v>943</v>
      </c>
      <c r="N228" t="s">
        <v>510</v>
      </c>
      <c r="O228" t="s">
        <v>35</v>
      </c>
      <c r="P228" t="s">
        <v>7</v>
      </c>
      <c r="Q228" s="1">
        <v>4</v>
      </c>
    </row>
    <row r="229" spans="1:17" x14ac:dyDescent="0.35">
      <c r="A229" s="1">
        <f>ROW()-ROW(DATABARANG!$A$3)</f>
        <v>226</v>
      </c>
      <c r="B229" t="s">
        <v>948</v>
      </c>
      <c r="C229" t="s">
        <v>949</v>
      </c>
      <c r="D229" t="s">
        <v>112</v>
      </c>
      <c r="E229" t="s">
        <v>106</v>
      </c>
      <c r="F229" t="s">
        <v>7</v>
      </c>
      <c r="G229" s="1">
        <v>0</v>
      </c>
      <c r="K229" s="1">
        <v>226</v>
      </c>
      <c r="L229" t="s">
        <v>948</v>
      </c>
      <c r="M229" t="s">
        <v>949</v>
      </c>
      <c r="N229" t="s">
        <v>112</v>
      </c>
      <c r="O229" t="s">
        <v>106</v>
      </c>
      <c r="P229" t="s">
        <v>7</v>
      </c>
      <c r="Q229" s="1">
        <v>0</v>
      </c>
    </row>
    <row r="230" spans="1:17" x14ac:dyDescent="0.35">
      <c r="A230" s="1">
        <f>ROW()-ROW(DATABARANG!$A$3)</f>
        <v>227</v>
      </c>
      <c r="B230" t="s">
        <v>956</v>
      </c>
      <c r="C230" t="s">
        <v>949</v>
      </c>
      <c r="D230" t="s">
        <v>112</v>
      </c>
      <c r="E230" t="s">
        <v>106</v>
      </c>
      <c r="F230" t="s">
        <v>7</v>
      </c>
      <c r="G230" s="1">
        <v>0</v>
      </c>
      <c r="K230" s="1">
        <v>227</v>
      </c>
      <c r="L230" t="s">
        <v>956</v>
      </c>
      <c r="M230" t="s">
        <v>949</v>
      </c>
      <c r="N230" t="s">
        <v>112</v>
      </c>
      <c r="O230" t="s">
        <v>106</v>
      </c>
      <c r="P230" t="s">
        <v>7</v>
      </c>
      <c r="Q230" s="1">
        <v>0</v>
      </c>
    </row>
    <row r="231" spans="1:17" x14ac:dyDescent="0.35">
      <c r="A231" s="1">
        <f>ROW()-ROW(DATABARANG!$A$3)</f>
        <v>228</v>
      </c>
      <c r="B231" t="s">
        <v>957</v>
      </c>
      <c r="C231" t="s">
        <v>958</v>
      </c>
      <c r="D231" t="s">
        <v>142</v>
      </c>
      <c r="E231" t="s">
        <v>106</v>
      </c>
      <c r="F231" t="s">
        <v>7</v>
      </c>
      <c r="G231" s="1">
        <v>2</v>
      </c>
      <c r="K231" s="1">
        <v>228</v>
      </c>
      <c r="L231" t="s">
        <v>957</v>
      </c>
      <c r="M231" t="s">
        <v>958</v>
      </c>
      <c r="N231" t="s">
        <v>142</v>
      </c>
      <c r="O231" t="s">
        <v>106</v>
      </c>
      <c r="P231" t="s">
        <v>7</v>
      </c>
      <c r="Q231" s="1">
        <v>2</v>
      </c>
    </row>
    <row r="232" spans="1:17" x14ac:dyDescent="0.35">
      <c r="A232" s="1">
        <f>ROW()-ROW(DATABARANG!$A$3)</f>
        <v>229</v>
      </c>
      <c r="B232" t="s">
        <v>961</v>
      </c>
      <c r="C232" t="s">
        <v>962</v>
      </c>
      <c r="D232" t="s">
        <v>142</v>
      </c>
      <c r="E232" t="s">
        <v>106</v>
      </c>
      <c r="F232" t="s">
        <v>7</v>
      </c>
      <c r="G232" s="1">
        <v>2</v>
      </c>
      <c r="K232" s="1">
        <v>229</v>
      </c>
      <c r="L232" t="s">
        <v>961</v>
      </c>
      <c r="M232" t="s">
        <v>962</v>
      </c>
      <c r="N232" t="s">
        <v>142</v>
      </c>
      <c r="O232" t="s">
        <v>106</v>
      </c>
      <c r="P232" t="s">
        <v>7</v>
      </c>
      <c r="Q232" s="1">
        <v>2</v>
      </c>
    </row>
    <row r="233" spans="1:17" x14ac:dyDescent="0.35">
      <c r="A233" s="1">
        <f>ROW()-ROW(DATABARANG!$A$3)</f>
        <v>230</v>
      </c>
      <c r="B233" t="s">
        <v>963</v>
      </c>
      <c r="C233" t="s">
        <v>964</v>
      </c>
      <c r="D233" t="s">
        <v>94</v>
      </c>
      <c r="E233" t="s">
        <v>304</v>
      </c>
      <c r="F233" t="s">
        <v>7</v>
      </c>
      <c r="G233" s="1">
        <v>0</v>
      </c>
      <c r="K233" s="1">
        <v>230</v>
      </c>
      <c r="L233" t="s">
        <v>963</v>
      </c>
      <c r="M233" t="s">
        <v>964</v>
      </c>
      <c r="N233" t="s">
        <v>94</v>
      </c>
      <c r="O233" t="s">
        <v>304</v>
      </c>
      <c r="P233" t="s">
        <v>7</v>
      </c>
      <c r="Q233" s="1">
        <v>0</v>
      </c>
    </row>
    <row r="234" spans="1:17" x14ac:dyDescent="0.35">
      <c r="A234" s="1">
        <f>ROW()-ROW(DATABARANG!$A$3)</f>
        <v>231</v>
      </c>
      <c r="B234" t="s">
        <v>965</v>
      </c>
      <c r="C234" t="s">
        <v>966</v>
      </c>
      <c r="D234" t="s">
        <v>76</v>
      </c>
      <c r="E234" t="s">
        <v>30</v>
      </c>
      <c r="F234" t="s">
        <v>7</v>
      </c>
      <c r="G234" s="1">
        <v>1</v>
      </c>
      <c r="K234" s="1">
        <v>231</v>
      </c>
      <c r="L234" t="s">
        <v>965</v>
      </c>
      <c r="M234" t="s">
        <v>966</v>
      </c>
      <c r="N234" t="s">
        <v>76</v>
      </c>
      <c r="O234" t="s">
        <v>30</v>
      </c>
      <c r="P234" t="s">
        <v>7</v>
      </c>
      <c r="Q234" s="1">
        <v>1</v>
      </c>
    </row>
    <row r="235" spans="1:17" x14ac:dyDescent="0.35">
      <c r="A235" s="1">
        <f>ROW()-ROW(DATABARANG!$A$3)</f>
        <v>232</v>
      </c>
      <c r="B235" t="s">
        <v>1000</v>
      </c>
      <c r="C235" t="s">
        <v>1001</v>
      </c>
      <c r="D235" t="s">
        <v>118</v>
      </c>
      <c r="E235" t="s">
        <v>41</v>
      </c>
      <c r="F235" t="s">
        <v>7</v>
      </c>
      <c r="G235" s="1">
        <v>0</v>
      </c>
      <c r="K235" s="1">
        <v>232</v>
      </c>
      <c r="L235" t="s">
        <v>1000</v>
      </c>
      <c r="M235" t="s">
        <v>1001</v>
      </c>
      <c r="N235" t="s">
        <v>118</v>
      </c>
      <c r="O235" t="s">
        <v>41</v>
      </c>
      <c r="P235" t="s">
        <v>7</v>
      </c>
      <c r="Q235" s="1">
        <v>0</v>
      </c>
    </row>
    <row r="236" spans="1:17" x14ac:dyDescent="0.35">
      <c r="A236" s="1">
        <f>ROW()-ROW(DATABARANG!$A$3)</f>
        <v>233</v>
      </c>
      <c r="B236" t="s">
        <v>1002</v>
      </c>
      <c r="C236" t="s">
        <v>1003</v>
      </c>
      <c r="D236" t="s">
        <v>94</v>
      </c>
      <c r="E236" t="s">
        <v>435</v>
      </c>
      <c r="F236" t="s">
        <v>7</v>
      </c>
      <c r="G236" s="1">
        <v>0</v>
      </c>
      <c r="K236" s="1">
        <v>233</v>
      </c>
      <c r="L236" t="s">
        <v>1002</v>
      </c>
      <c r="M236" t="s">
        <v>1003</v>
      </c>
      <c r="N236" t="s">
        <v>94</v>
      </c>
      <c r="O236" t="s">
        <v>435</v>
      </c>
      <c r="P236" t="s">
        <v>7</v>
      </c>
      <c r="Q236" s="1">
        <v>0</v>
      </c>
    </row>
    <row r="237" spans="1:17" x14ac:dyDescent="0.35">
      <c r="A237" s="1">
        <f>ROW()-ROW(DATABARANG!$A$3)</f>
        <v>234</v>
      </c>
      <c r="B237" t="s">
        <v>1027</v>
      </c>
      <c r="C237" t="s">
        <v>1028</v>
      </c>
      <c r="D237" t="s">
        <v>200</v>
      </c>
      <c r="E237" t="s">
        <v>47</v>
      </c>
      <c r="F237" t="s">
        <v>7</v>
      </c>
      <c r="G237" s="1">
        <v>0</v>
      </c>
      <c r="K237" s="1">
        <v>234</v>
      </c>
      <c r="L237" t="s">
        <v>1027</v>
      </c>
      <c r="M237" t="s">
        <v>1028</v>
      </c>
      <c r="N237" t="s">
        <v>200</v>
      </c>
      <c r="O237" t="s">
        <v>47</v>
      </c>
      <c r="P237" t="s">
        <v>7</v>
      </c>
      <c r="Q237" s="1">
        <v>0</v>
      </c>
    </row>
    <row r="238" spans="1:17" x14ac:dyDescent="0.35">
      <c r="A238" s="1">
        <f>ROW()-ROW(DATABARANG!$A$3)</f>
        <v>235</v>
      </c>
      <c r="B238" t="s">
        <v>1041</v>
      </c>
      <c r="C238" t="s">
        <v>1042</v>
      </c>
      <c r="D238" t="s">
        <v>200</v>
      </c>
      <c r="E238" t="s">
        <v>27</v>
      </c>
      <c r="F238" t="s">
        <v>7</v>
      </c>
      <c r="G238" s="1">
        <v>3</v>
      </c>
      <c r="K238" s="1">
        <v>235</v>
      </c>
      <c r="L238" t="s">
        <v>1041</v>
      </c>
      <c r="M238" t="s">
        <v>1042</v>
      </c>
      <c r="N238" t="s">
        <v>200</v>
      </c>
      <c r="O238" t="s">
        <v>27</v>
      </c>
      <c r="P238" t="s">
        <v>7</v>
      </c>
      <c r="Q238" s="1">
        <v>3</v>
      </c>
    </row>
    <row r="239" spans="1:17" x14ac:dyDescent="0.35">
      <c r="A239" s="1">
        <f>ROW()-ROW(DATABARANG!$A$3)</f>
        <v>236</v>
      </c>
      <c r="B239" t="s">
        <v>1092</v>
      </c>
      <c r="C239" t="s">
        <v>1093</v>
      </c>
      <c r="D239" t="s">
        <v>510</v>
      </c>
      <c r="E239" t="s">
        <v>30</v>
      </c>
      <c r="F239" t="s">
        <v>7</v>
      </c>
      <c r="G239" s="1">
        <v>0</v>
      </c>
      <c r="K239" s="1">
        <v>236</v>
      </c>
      <c r="L239" t="s">
        <v>1092</v>
      </c>
      <c r="M239" t="s">
        <v>1093</v>
      </c>
      <c r="N239" t="s">
        <v>510</v>
      </c>
      <c r="O239" t="s">
        <v>30</v>
      </c>
      <c r="P239" t="s">
        <v>7</v>
      </c>
      <c r="Q239" s="1">
        <v>0</v>
      </c>
    </row>
    <row r="240" spans="1:17" x14ac:dyDescent="0.35">
      <c r="A240" s="1">
        <f>ROW()-ROW(DATABARANG!$A$3)</f>
        <v>237</v>
      </c>
      <c r="B240" t="s">
        <v>1110</v>
      </c>
      <c r="C240" t="s">
        <v>1111</v>
      </c>
      <c r="D240" t="s">
        <v>76</v>
      </c>
      <c r="E240" t="s">
        <v>30</v>
      </c>
      <c r="F240" t="s">
        <v>7</v>
      </c>
      <c r="G240" s="1">
        <v>4</v>
      </c>
      <c r="K240" s="1">
        <v>237</v>
      </c>
      <c r="L240" t="s">
        <v>1110</v>
      </c>
      <c r="M240" t="s">
        <v>1111</v>
      </c>
      <c r="N240" t="s">
        <v>76</v>
      </c>
      <c r="O240" t="s">
        <v>30</v>
      </c>
      <c r="P240" t="s">
        <v>7</v>
      </c>
      <c r="Q240" s="1">
        <v>4</v>
      </c>
    </row>
    <row r="241" spans="1:17" x14ac:dyDescent="0.35">
      <c r="A241" s="1">
        <f>ROW()-ROW(DATABARANG!$A$3)</f>
        <v>238</v>
      </c>
      <c r="B241" t="s">
        <v>1112</v>
      </c>
      <c r="C241" t="s">
        <v>1113</v>
      </c>
      <c r="D241" t="s">
        <v>118</v>
      </c>
      <c r="E241" t="s">
        <v>30</v>
      </c>
      <c r="F241" t="s">
        <v>7</v>
      </c>
      <c r="G241" s="1">
        <v>2</v>
      </c>
      <c r="K241" s="1">
        <v>238</v>
      </c>
      <c r="L241" t="s">
        <v>1112</v>
      </c>
      <c r="M241" t="s">
        <v>1113</v>
      </c>
      <c r="N241" t="s">
        <v>118</v>
      </c>
      <c r="O241" t="s">
        <v>30</v>
      </c>
      <c r="P241" t="s">
        <v>7</v>
      </c>
      <c r="Q241" s="1">
        <v>2</v>
      </c>
    </row>
    <row r="242" spans="1:17" x14ac:dyDescent="0.35">
      <c r="A242" s="1">
        <f>ROW()-ROW(DATABARANG!$A$3)</f>
        <v>239</v>
      </c>
      <c r="B242" t="s">
        <v>1114</v>
      </c>
      <c r="C242" t="s">
        <v>1115</v>
      </c>
      <c r="D242" t="s">
        <v>121</v>
      </c>
      <c r="E242" t="s">
        <v>562</v>
      </c>
      <c r="F242" t="s">
        <v>7</v>
      </c>
      <c r="G242" s="1">
        <v>2</v>
      </c>
      <c r="K242" s="1">
        <v>239</v>
      </c>
      <c r="L242" t="s">
        <v>1114</v>
      </c>
      <c r="M242" t="s">
        <v>1115</v>
      </c>
      <c r="N242" t="s">
        <v>121</v>
      </c>
      <c r="O242" t="s">
        <v>562</v>
      </c>
      <c r="P242" t="s">
        <v>7</v>
      </c>
      <c r="Q242" s="1">
        <v>2</v>
      </c>
    </row>
    <row r="243" spans="1:17" x14ac:dyDescent="0.35">
      <c r="A243" s="1">
        <f>ROW()-ROW(DATABARANG!$A$3)</f>
        <v>240</v>
      </c>
      <c r="B243" t="s">
        <v>1116</v>
      </c>
      <c r="C243" t="s">
        <v>1117</v>
      </c>
      <c r="D243" t="s">
        <v>76</v>
      </c>
      <c r="E243" t="s">
        <v>30</v>
      </c>
      <c r="F243" t="s">
        <v>7</v>
      </c>
      <c r="G243" s="1">
        <v>1</v>
      </c>
      <c r="K243" s="1">
        <v>240</v>
      </c>
      <c r="L243" t="s">
        <v>1116</v>
      </c>
      <c r="M243" t="s">
        <v>1117</v>
      </c>
      <c r="N243" t="s">
        <v>76</v>
      </c>
      <c r="O243" t="s">
        <v>30</v>
      </c>
      <c r="P243" t="s">
        <v>7</v>
      </c>
      <c r="Q243" s="1">
        <v>1</v>
      </c>
    </row>
    <row r="244" spans="1:17" x14ac:dyDescent="0.35">
      <c r="A244" s="1">
        <f>ROW()-ROW(DATABARANG!$A$3)</f>
        <v>241</v>
      </c>
      <c r="B244" t="s">
        <v>1118</v>
      </c>
      <c r="C244" t="s">
        <v>1119</v>
      </c>
      <c r="D244" t="s">
        <v>121</v>
      </c>
      <c r="E244" t="s">
        <v>106</v>
      </c>
      <c r="F244" t="s">
        <v>7</v>
      </c>
      <c r="G244" s="1">
        <v>0</v>
      </c>
      <c r="K244" s="1">
        <v>241</v>
      </c>
      <c r="L244" t="s">
        <v>1118</v>
      </c>
      <c r="M244" t="s">
        <v>1119</v>
      </c>
      <c r="N244" t="s">
        <v>121</v>
      </c>
      <c r="O244" t="s">
        <v>106</v>
      </c>
      <c r="P244" t="s">
        <v>7</v>
      </c>
      <c r="Q244" s="1">
        <v>0</v>
      </c>
    </row>
    <row r="245" spans="1:17" x14ac:dyDescent="0.35">
      <c r="A245" s="1">
        <f>ROW()-ROW(DATABARANG!$A$3)</f>
        <v>242</v>
      </c>
      <c r="B245" t="s">
        <v>1149</v>
      </c>
      <c r="C245" t="s">
        <v>1150</v>
      </c>
      <c r="D245" t="s">
        <v>75</v>
      </c>
      <c r="E245" t="s">
        <v>35</v>
      </c>
      <c r="F245" t="s">
        <v>7</v>
      </c>
      <c r="G245" s="1">
        <v>1</v>
      </c>
      <c r="K245" s="1">
        <v>242</v>
      </c>
      <c r="L245" t="s">
        <v>1149</v>
      </c>
      <c r="M245" t="s">
        <v>1150</v>
      </c>
      <c r="N245" t="s">
        <v>75</v>
      </c>
      <c r="O245" t="s">
        <v>35</v>
      </c>
      <c r="P245" t="s">
        <v>7</v>
      </c>
      <c r="Q245" s="1">
        <v>1</v>
      </c>
    </row>
    <row r="246" spans="1:17" x14ac:dyDescent="0.35">
      <c r="A246" s="1">
        <f>ROW()-ROW(DATABARANG!$A$3)</f>
        <v>243</v>
      </c>
      <c r="B246" t="s">
        <v>1269</v>
      </c>
      <c r="C246" t="s">
        <v>1270</v>
      </c>
      <c r="D246" t="s">
        <v>1271</v>
      </c>
      <c r="E246" t="s">
        <v>106</v>
      </c>
      <c r="F246" t="s">
        <v>7</v>
      </c>
      <c r="G246" s="1">
        <v>1</v>
      </c>
      <c r="K246" s="1">
        <v>243</v>
      </c>
      <c r="L246" t="s">
        <v>1269</v>
      </c>
      <c r="M246" t="s">
        <v>1270</v>
      </c>
      <c r="N246" t="s">
        <v>1271</v>
      </c>
      <c r="O246" t="s">
        <v>106</v>
      </c>
      <c r="P246" t="s">
        <v>7</v>
      </c>
      <c r="Q246" s="1">
        <v>1</v>
      </c>
    </row>
    <row r="247" spans="1:17" x14ac:dyDescent="0.35">
      <c r="A247" s="1">
        <f>ROW()-ROW(DATABARANG!$A$3)</f>
        <v>244</v>
      </c>
      <c r="B247" t="s">
        <v>1295</v>
      </c>
      <c r="C247" t="s">
        <v>1296</v>
      </c>
      <c r="D247" t="s">
        <v>1271</v>
      </c>
      <c r="E247" t="s">
        <v>106</v>
      </c>
      <c r="F247" t="s">
        <v>7</v>
      </c>
      <c r="G247" s="1">
        <v>0</v>
      </c>
      <c r="K247" s="1">
        <v>244</v>
      </c>
      <c r="L247" t="s">
        <v>1295</v>
      </c>
      <c r="M247" t="s">
        <v>1296</v>
      </c>
      <c r="N247" t="s">
        <v>1271</v>
      </c>
      <c r="O247" t="s">
        <v>106</v>
      </c>
      <c r="P247" t="s">
        <v>7</v>
      </c>
      <c r="Q247" s="1">
        <v>0</v>
      </c>
    </row>
    <row r="248" spans="1:17" x14ac:dyDescent="0.35">
      <c r="A248" s="1">
        <f>ROW()-ROW(DATABARANG!$A$3)</f>
        <v>245</v>
      </c>
      <c r="B248" t="s">
        <v>1297</v>
      </c>
      <c r="C248" t="s">
        <v>1298</v>
      </c>
      <c r="D248" t="s">
        <v>1271</v>
      </c>
      <c r="E248" t="s">
        <v>106</v>
      </c>
      <c r="F248" t="s">
        <v>7</v>
      </c>
      <c r="G248" s="1">
        <v>2</v>
      </c>
      <c r="K248" s="1">
        <v>245</v>
      </c>
      <c r="L248" t="s">
        <v>1297</v>
      </c>
      <c r="M248" t="s">
        <v>1298</v>
      </c>
      <c r="N248" t="s">
        <v>1271</v>
      </c>
      <c r="O248" t="s">
        <v>106</v>
      </c>
      <c r="P248" t="s">
        <v>7</v>
      </c>
      <c r="Q248" s="1">
        <v>2</v>
      </c>
    </row>
    <row r="249" spans="1:17" x14ac:dyDescent="0.35">
      <c r="A249" s="1">
        <f>ROW()-ROW(DATABARANG!$A$3)</f>
        <v>246</v>
      </c>
      <c r="B249" t="s">
        <v>1304</v>
      </c>
      <c r="C249" t="s">
        <v>1305</v>
      </c>
      <c r="D249" t="s">
        <v>151</v>
      </c>
      <c r="E249" t="s">
        <v>562</v>
      </c>
      <c r="F249" t="s">
        <v>7</v>
      </c>
      <c r="G249" s="1">
        <v>2</v>
      </c>
      <c r="K249" s="1">
        <v>246</v>
      </c>
      <c r="L249" t="s">
        <v>1304</v>
      </c>
      <c r="M249" t="s">
        <v>1305</v>
      </c>
      <c r="N249" t="s">
        <v>151</v>
      </c>
      <c r="O249" t="s">
        <v>562</v>
      </c>
      <c r="P249" t="s">
        <v>7</v>
      </c>
      <c r="Q249" s="1">
        <v>2</v>
      </c>
    </row>
    <row r="250" spans="1:17" x14ac:dyDescent="0.35">
      <c r="A250" s="1">
        <f>ROW()-ROW(DATABARANG!$A$3)</f>
        <v>247</v>
      </c>
      <c r="B250" t="s">
        <v>1307</v>
      </c>
      <c r="C250" t="s">
        <v>1797</v>
      </c>
      <c r="D250" t="s">
        <v>76</v>
      </c>
      <c r="E250" t="s">
        <v>30</v>
      </c>
      <c r="F250" t="s">
        <v>7</v>
      </c>
      <c r="G250" s="1">
        <v>2</v>
      </c>
      <c r="K250" s="1">
        <v>247</v>
      </c>
      <c r="L250" t="s">
        <v>1307</v>
      </c>
      <c r="M250" t="s">
        <v>1797</v>
      </c>
      <c r="N250" t="s">
        <v>76</v>
      </c>
      <c r="O250" t="s">
        <v>30</v>
      </c>
      <c r="P250" t="s">
        <v>7</v>
      </c>
      <c r="Q250" s="1">
        <v>2</v>
      </c>
    </row>
    <row r="251" spans="1:17" x14ac:dyDescent="0.35">
      <c r="A251" s="1">
        <f>ROW()-ROW(DATABARANG!$A$3)</f>
        <v>248</v>
      </c>
      <c r="B251" t="s">
        <v>1310</v>
      </c>
      <c r="C251" t="s">
        <v>1311</v>
      </c>
      <c r="D251" t="s">
        <v>76</v>
      </c>
      <c r="E251" t="s">
        <v>30</v>
      </c>
      <c r="F251" t="s">
        <v>7</v>
      </c>
      <c r="G251" s="1">
        <v>2</v>
      </c>
      <c r="K251" s="1">
        <v>248</v>
      </c>
      <c r="L251" t="s">
        <v>1310</v>
      </c>
      <c r="M251" t="s">
        <v>1311</v>
      </c>
      <c r="N251" t="s">
        <v>76</v>
      </c>
      <c r="O251" t="s">
        <v>30</v>
      </c>
      <c r="P251" t="s">
        <v>7</v>
      </c>
      <c r="Q251" s="1">
        <v>2</v>
      </c>
    </row>
    <row r="252" spans="1:17" x14ac:dyDescent="0.35">
      <c r="A252" s="1">
        <f>ROW()-ROW(DATABARANG!$A$3)</f>
        <v>249</v>
      </c>
      <c r="B252" t="s">
        <v>1313</v>
      </c>
      <c r="C252" t="s">
        <v>1314</v>
      </c>
      <c r="D252" t="s">
        <v>76</v>
      </c>
      <c r="E252" t="s">
        <v>30</v>
      </c>
      <c r="F252" t="s">
        <v>7</v>
      </c>
      <c r="G252" s="1">
        <v>2</v>
      </c>
      <c r="K252" s="1">
        <v>249</v>
      </c>
      <c r="L252" t="s">
        <v>1313</v>
      </c>
      <c r="M252" t="s">
        <v>1314</v>
      </c>
      <c r="N252" t="s">
        <v>76</v>
      </c>
      <c r="O252" t="s">
        <v>30</v>
      </c>
      <c r="P252" t="s">
        <v>7</v>
      </c>
      <c r="Q252" s="1">
        <v>2</v>
      </c>
    </row>
    <row r="253" spans="1:17" x14ac:dyDescent="0.35">
      <c r="A253" s="1">
        <f>ROW()-ROW(DATABARANG!$A$3)</f>
        <v>250</v>
      </c>
      <c r="B253" t="s">
        <v>1316</v>
      </c>
      <c r="C253" t="s">
        <v>1317</v>
      </c>
      <c r="D253" t="s">
        <v>151</v>
      </c>
      <c r="E253" t="s">
        <v>562</v>
      </c>
      <c r="F253" t="s">
        <v>7</v>
      </c>
      <c r="G253" s="1">
        <v>2</v>
      </c>
      <c r="K253" s="1">
        <v>250</v>
      </c>
      <c r="L253" t="s">
        <v>1316</v>
      </c>
      <c r="M253" t="s">
        <v>1317</v>
      </c>
      <c r="N253" t="s">
        <v>151</v>
      </c>
      <c r="O253" t="s">
        <v>562</v>
      </c>
      <c r="P253" t="s">
        <v>7</v>
      </c>
      <c r="Q253" s="1">
        <v>2</v>
      </c>
    </row>
    <row r="254" spans="1:17" x14ac:dyDescent="0.35">
      <c r="A254" s="1">
        <f>ROW()-ROW(DATABARANG!$A$3)</f>
        <v>251</v>
      </c>
      <c r="B254" t="s">
        <v>1318</v>
      </c>
      <c r="C254" t="s">
        <v>1319</v>
      </c>
      <c r="D254" t="s">
        <v>147</v>
      </c>
      <c r="E254" t="s">
        <v>30</v>
      </c>
      <c r="F254" t="s">
        <v>7</v>
      </c>
      <c r="G254" s="1">
        <v>0</v>
      </c>
      <c r="K254" s="1">
        <v>251</v>
      </c>
      <c r="L254" t="s">
        <v>1318</v>
      </c>
      <c r="M254" t="s">
        <v>1319</v>
      </c>
      <c r="N254" t="s">
        <v>147</v>
      </c>
      <c r="O254" t="s">
        <v>30</v>
      </c>
      <c r="P254" t="s">
        <v>7</v>
      </c>
      <c r="Q254" s="1">
        <v>0</v>
      </c>
    </row>
    <row r="255" spans="1:17" x14ac:dyDescent="0.35">
      <c r="A255" s="1">
        <f>ROW()-ROW(DATABARANG!$A$3)</f>
        <v>252</v>
      </c>
      <c r="B255" t="s">
        <v>1320</v>
      </c>
      <c r="C255" t="s">
        <v>1321</v>
      </c>
      <c r="D255" t="s">
        <v>147</v>
      </c>
      <c r="E255" t="s">
        <v>30</v>
      </c>
      <c r="F255" t="s">
        <v>7</v>
      </c>
      <c r="G255" s="1">
        <v>1</v>
      </c>
      <c r="K255" s="1">
        <v>252</v>
      </c>
      <c r="L255" t="s">
        <v>1320</v>
      </c>
      <c r="M255" t="s">
        <v>1321</v>
      </c>
      <c r="N255" t="s">
        <v>147</v>
      </c>
      <c r="O255" t="s">
        <v>30</v>
      </c>
      <c r="P255" t="s">
        <v>7</v>
      </c>
      <c r="Q255" s="1">
        <v>1</v>
      </c>
    </row>
    <row r="256" spans="1:17" x14ac:dyDescent="0.35">
      <c r="A256" s="1">
        <f>ROW()-ROW(DATABARANG!$A$3)</f>
        <v>253</v>
      </c>
      <c r="B256" t="s">
        <v>1322</v>
      </c>
      <c r="C256" t="s">
        <v>1323</v>
      </c>
      <c r="D256" t="s">
        <v>147</v>
      </c>
      <c r="E256" t="s">
        <v>562</v>
      </c>
      <c r="F256" t="s">
        <v>7</v>
      </c>
      <c r="G256" s="1">
        <v>0</v>
      </c>
      <c r="K256" s="1">
        <v>253</v>
      </c>
      <c r="L256" t="s">
        <v>1322</v>
      </c>
      <c r="M256" t="s">
        <v>1323</v>
      </c>
      <c r="N256" t="s">
        <v>147</v>
      </c>
      <c r="O256" t="s">
        <v>562</v>
      </c>
      <c r="P256" t="s">
        <v>7</v>
      </c>
      <c r="Q256" s="1">
        <v>0</v>
      </c>
    </row>
    <row r="257" spans="1:17" x14ac:dyDescent="0.35">
      <c r="A257" s="1">
        <f>ROW()-ROW(DATABARANG!$A$3)</f>
        <v>254</v>
      </c>
      <c r="B257" t="s">
        <v>1324</v>
      </c>
      <c r="C257" t="s">
        <v>1325</v>
      </c>
      <c r="D257" t="s">
        <v>80</v>
      </c>
      <c r="E257" t="s">
        <v>304</v>
      </c>
      <c r="F257" t="s">
        <v>7</v>
      </c>
      <c r="G257" s="1">
        <v>2</v>
      </c>
      <c r="K257" s="1">
        <v>254</v>
      </c>
      <c r="L257" t="s">
        <v>1324</v>
      </c>
      <c r="M257" t="s">
        <v>1325</v>
      </c>
      <c r="N257" t="s">
        <v>80</v>
      </c>
      <c r="O257" t="s">
        <v>304</v>
      </c>
      <c r="P257" t="s">
        <v>7</v>
      </c>
      <c r="Q257" s="1">
        <v>2</v>
      </c>
    </row>
    <row r="258" spans="1:17" x14ac:dyDescent="0.35">
      <c r="A258" s="1">
        <f>ROW()-ROW(DATABARANG!$A$3)</f>
        <v>255</v>
      </c>
      <c r="B258" t="s">
        <v>1326</v>
      </c>
      <c r="C258" t="s">
        <v>1327</v>
      </c>
      <c r="D258" t="s">
        <v>80</v>
      </c>
      <c r="E258" t="s">
        <v>304</v>
      </c>
      <c r="F258" t="s">
        <v>7</v>
      </c>
      <c r="G258" s="1">
        <v>1</v>
      </c>
      <c r="K258" s="1">
        <v>255</v>
      </c>
      <c r="L258" t="s">
        <v>1326</v>
      </c>
      <c r="M258" t="s">
        <v>1327</v>
      </c>
      <c r="N258" t="s">
        <v>80</v>
      </c>
      <c r="O258" t="s">
        <v>304</v>
      </c>
      <c r="P258" t="s">
        <v>7</v>
      </c>
      <c r="Q258" s="1">
        <v>1</v>
      </c>
    </row>
    <row r="259" spans="1:17" x14ac:dyDescent="0.35">
      <c r="A259" s="1">
        <f>ROW()-ROW(DATABARANG!$A$3)</f>
        <v>256</v>
      </c>
      <c r="B259" t="s">
        <v>1330</v>
      </c>
      <c r="C259" t="s">
        <v>1331</v>
      </c>
      <c r="D259" t="s">
        <v>112</v>
      </c>
      <c r="E259" t="s">
        <v>106</v>
      </c>
      <c r="F259" t="s">
        <v>7</v>
      </c>
      <c r="G259" s="1">
        <v>0</v>
      </c>
      <c r="K259" s="1">
        <v>256</v>
      </c>
      <c r="L259" t="s">
        <v>1330</v>
      </c>
      <c r="M259" t="s">
        <v>1331</v>
      </c>
      <c r="N259" t="s">
        <v>112</v>
      </c>
      <c r="O259" t="s">
        <v>106</v>
      </c>
      <c r="P259" t="s">
        <v>7</v>
      </c>
      <c r="Q259" s="1">
        <v>0</v>
      </c>
    </row>
    <row r="260" spans="1:17" x14ac:dyDescent="0.35">
      <c r="A260" s="1">
        <f>ROW()-ROW(DATABARANG!$A$3)</f>
        <v>257</v>
      </c>
      <c r="B260" t="s">
        <v>1334</v>
      </c>
      <c r="C260" t="s">
        <v>1335</v>
      </c>
      <c r="D260" t="s">
        <v>142</v>
      </c>
      <c r="E260" t="s">
        <v>562</v>
      </c>
      <c r="F260" t="s">
        <v>7</v>
      </c>
      <c r="G260" s="1">
        <v>1</v>
      </c>
      <c r="K260" s="1">
        <v>257</v>
      </c>
      <c r="L260" t="s">
        <v>1334</v>
      </c>
      <c r="M260" t="s">
        <v>1335</v>
      </c>
      <c r="N260" t="s">
        <v>142</v>
      </c>
      <c r="O260" t="s">
        <v>562</v>
      </c>
      <c r="P260" t="s">
        <v>7</v>
      </c>
      <c r="Q260" s="1">
        <v>1</v>
      </c>
    </row>
    <row r="261" spans="1:17" x14ac:dyDescent="0.35">
      <c r="A261" s="1">
        <f>ROW()-ROW(DATABARANG!$A$3)</f>
        <v>258</v>
      </c>
      <c r="B261" t="s">
        <v>1336</v>
      </c>
      <c r="C261" t="s">
        <v>1337</v>
      </c>
      <c r="D261" t="s">
        <v>142</v>
      </c>
      <c r="E261" t="s">
        <v>562</v>
      </c>
      <c r="F261" t="s">
        <v>7</v>
      </c>
      <c r="G261" s="1">
        <v>0</v>
      </c>
      <c r="K261" s="1">
        <v>258</v>
      </c>
      <c r="L261" t="s">
        <v>1336</v>
      </c>
      <c r="M261" t="s">
        <v>1337</v>
      </c>
      <c r="N261" t="s">
        <v>142</v>
      </c>
      <c r="O261" t="s">
        <v>562</v>
      </c>
      <c r="P261" t="s">
        <v>7</v>
      </c>
      <c r="Q261" s="1">
        <v>0</v>
      </c>
    </row>
    <row r="262" spans="1:17" x14ac:dyDescent="0.35">
      <c r="A262" s="1">
        <f>ROW()-ROW(DATABARANG!$A$3)</f>
        <v>259</v>
      </c>
      <c r="B262" t="s">
        <v>1338</v>
      </c>
      <c r="C262" t="s">
        <v>1339</v>
      </c>
      <c r="D262" t="s">
        <v>142</v>
      </c>
      <c r="E262" t="s">
        <v>562</v>
      </c>
      <c r="F262" t="s">
        <v>7</v>
      </c>
      <c r="G262" s="1">
        <v>4</v>
      </c>
      <c r="K262" s="1">
        <v>259</v>
      </c>
      <c r="L262" t="s">
        <v>1338</v>
      </c>
      <c r="M262" t="s">
        <v>1339</v>
      </c>
      <c r="N262" t="s">
        <v>142</v>
      </c>
      <c r="O262" t="s">
        <v>562</v>
      </c>
      <c r="P262" t="s">
        <v>7</v>
      </c>
      <c r="Q262" s="1">
        <v>4</v>
      </c>
    </row>
    <row r="263" spans="1:17" x14ac:dyDescent="0.35">
      <c r="A263" s="1">
        <f>ROW()-ROW(DATABARANG!$A$3)</f>
        <v>260</v>
      </c>
      <c r="B263" t="s">
        <v>1340</v>
      </c>
      <c r="C263" t="s">
        <v>1341</v>
      </c>
      <c r="D263" t="s">
        <v>142</v>
      </c>
      <c r="E263" t="s">
        <v>562</v>
      </c>
      <c r="F263" t="s">
        <v>7</v>
      </c>
      <c r="G263" s="1">
        <v>9</v>
      </c>
      <c r="K263" s="1">
        <v>260</v>
      </c>
      <c r="L263" t="s">
        <v>1340</v>
      </c>
      <c r="M263" t="s">
        <v>1341</v>
      </c>
      <c r="N263" t="s">
        <v>142</v>
      </c>
      <c r="O263" t="s">
        <v>562</v>
      </c>
      <c r="P263" t="s">
        <v>7</v>
      </c>
      <c r="Q263" s="1">
        <v>9</v>
      </c>
    </row>
    <row r="264" spans="1:17" x14ac:dyDescent="0.35">
      <c r="A264" s="1">
        <f>ROW()-ROW(DATABARANG!$A$3)</f>
        <v>261</v>
      </c>
      <c r="B264" t="s">
        <v>1342</v>
      </c>
      <c r="C264" t="s">
        <v>1343</v>
      </c>
      <c r="D264" t="s">
        <v>109</v>
      </c>
      <c r="E264" t="s">
        <v>106</v>
      </c>
      <c r="F264" t="s">
        <v>7</v>
      </c>
      <c r="G264" s="1">
        <v>0</v>
      </c>
      <c r="K264" s="1">
        <v>261</v>
      </c>
      <c r="L264" t="s">
        <v>1342</v>
      </c>
      <c r="M264" t="s">
        <v>1343</v>
      </c>
      <c r="N264" t="s">
        <v>109</v>
      </c>
      <c r="O264" t="s">
        <v>106</v>
      </c>
      <c r="P264" t="s">
        <v>7</v>
      </c>
      <c r="Q264" s="1">
        <v>0</v>
      </c>
    </row>
    <row r="265" spans="1:17" x14ac:dyDescent="0.35">
      <c r="A265" s="1">
        <f>ROW()-ROW(DATABARANG!$A$3)</f>
        <v>262</v>
      </c>
      <c r="B265" t="s">
        <v>1344</v>
      </c>
      <c r="C265" t="s">
        <v>1345</v>
      </c>
      <c r="D265" t="s">
        <v>94</v>
      </c>
      <c r="E265" t="s">
        <v>304</v>
      </c>
      <c r="F265" t="s">
        <v>7</v>
      </c>
      <c r="G265" s="1">
        <v>0</v>
      </c>
      <c r="K265" s="1">
        <v>262</v>
      </c>
      <c r="L265" t="s">
        <v>1344</v>
      </c>
      <c r="M265" t="s">
        <v>1345</v>
      </c>
      <c r="N265" t="s">
        <v>94</v>
      </c>
      <c r="O265" t="s">
        <v>304</v>
      </c>
      <c r="P265" t="s">
        <v>7</v>
      </c>
      <c r="Q265" s="1">
        <v>0</v>
      </c>
    </row>
    <row r="266" spans="1:17" x14ac:dyDescent="0.35">
      <c r="A266" s="1">
        <f>ROW()-ROW(DATABARANG!$A$3)</f>
        <v>263</v>
      </c>
      <c r="B266" t="s">
        <v>1346</v>
      </c>
      <c r="C266" t="s">
        <v>1347</v>
      </c>
      <c r="D266" t="s">
        <v>94</v>
      </c>
      <c r="E266" t="s">
        <v>304</v>
      </c>
      <c r="F266" t="s">
        <v>7</v>
      </c>
      <c r="G266" s="1">
        <v>0</v>
      </c>
      <c r="K266" s="1">
        <v>263</v>
      </c>
      <c r="L266" t="s">
        <v>1346</v>
      </c>
      <c r="M266" t="s">
        <v>1347</v>
      </c>
      <c r="N266" t="s">
        <v>94</v>
      </c>
      <c r="O266" t="s">
        <v>304</v>
      </c>
      <c r="P266" t="s">
        <v>7</v>
      </c>
      <c r="Q266" s="1">
        <v>0</v>
      </c>
    </row>
    <row r="267" spans="1:17" x14ac:dyDescent="0.35">
      <c r="A267" s="1">
        <f>ROW()-ROW(DATABARANG!$A$3)</f>
        <v>264</v>
      </c>
      <c r="B267" t="s">
        <v>1348</v>
      </c>
      <c r="C267" t="s">
        <v>1349</v>
      </c>
      <c r="D267" t="s">
        <v>94</v>
      </c>
      <c r="E267" t="s">
        <v>304</v>
      </c>
      <c r="F267" t="s">
        <v>7</v>
      </c>
      <c r="G267" s="1">
        <v>0</v>
      </c>
      <c r="K267" s="1">
        <v>264</v>
      </c>
      <c r="L267" t="s">
        <v>1348</v>
      </c>
      <c r="M267" t="s">
        <v>1349</v>
      </c>
      <c r="N267" t="s">
        <v>94</v>
      </c>
      <c r="O267" t="s">
        <v>304</v>
      </c>
      <c r="P267" t="s">
        <v>7</v>
      </c>
      <c r="Q267" s="1">
        <v>0</v>
      </c>
    </row>
    <row r="268" spans="1:17" x14ac:dyDescent="0.35">
      <c r="A268" s="1">
        <f>ROW()-ROW(DATABARANG!$A$3)</f>
        <v>265</v>
      </c>
      <c r="B268" t="s">
        <v>1350</v>
      </c>
      <c r="C268" t="s">
        <v>1351</v>
      </c>
      <c r="D268" t="s">
        <v>1352</v>
      </c>
      <c r="E268" t="s">
        <v>30</v>
      </c>
      <c r="F268" t="s">
        <v>7</v>
      </c>
      <c r="G268" s="1">
        <v>1</v>
      </c>
      <c r="K268" s="1">
        <v>265</v>
      </c>
      <c r="L268" t="s">
        <v>1350</v>
      </c>
      <c r="M268" t="s">
        <v>1351</v>
      </c>
      <c r="N268" t="s">
        <v>1352</v>
      </c>
      <c r="O268" t="s">
        <v>30</v>
      </c>
      <c r="P268" t="s">
        <v>7</v>
      </c>
      <c r="Q268" s="1">
        <v>1</v>
      </c>
    </row>
    <row r="269" spans="1:17" x14ac:dyDescent="0.35">
      <c r="A269" s="1">
        <f>ROW()-ROW(DATABARANG!$A$3)</f>
        <v>266</v>
      </c>
      <c r="B269" t="s">
        <v>1353</v>
      </c>
      <c r="C269" t="s">
        <v>1354</v>
      </c>
      <c r="D269" t="s">
        <v>1352</v>
      </c>
      <c r="E269" t="s">
        <v>30</v>
      </c>
      <c r="F269" t="s">
        <v>7</v>
      </c>
      <c r="G269" s="1">
        <v>1</v>
      </c>
      <c r="K269" s="1">
        <v>266</v>
      </c>
      <c r="L269" t="s">
        <v>1353</v>
      </c>
      <c r="M269" t="s">
        <v>1354</v>
      </c>
      <c r="N269" t="s">
        <v>1352</v>
      </c>
      <c r="O269" t="s">
        <v>30</v>
      </c>
      <c r="P269" t="s">
        <v>7</v>
      </c>
      <c r="Q269" s="1">
        <v>1</v>
      </c>
    </row>
    <row r="270" spans="1:17" x14ac:dyDescent="0.35">
      <c r="A270" s="1">
        <f>ROW()-ROW(DATABARANG!$A$3)</f>
        <v>267</v>
      </c>
      <c r="B270" t="s">
        <v>1355</v>
      </c>
      <c r="C270" t="s">
        <v>1356</v>
      </c>
      <c r="D270" t="s">
        <v>121</v>
      </c>
      <c r="E270" t="s">
        <v>304</v>
      </c>
      <c r="F270" t="s">
        <v>7</v>
      </c>
      <c r="G270" s="1">
        <v>3</v>
      </c>
      <c r="K270" s="1">
        <v>267</v>
      </c>
      <c r="L270" t="s">
        <v>1355</v>
      </c>
      <c r="M270" t="s">
        <v>1356</v>
      </c>
      <c r="N270" t="s">
        <v>121</v>
      </c>
      <c r="O270" t="s">
        <v>304</v>
      </c>
      <c r="P270" t="s">
        <v>7</v>
      </c>
      <c r="Q270" s="1">
        <v>3</v>
      </c>
    </row>
    <row r="271" spans="1:17" x14ac:dyDescent="0.35">
      <c r="A271" s="1">
        <f>ROW()-ROW(DATABARANG!$A$3)</f>
        <v>268</v>
      </c>
      <c r="B271" t="s">
        <v>1357</v>
      </c>
      <c r="C271" t="s">
        <v>1358</v>
      </c>
      <c r="D271" t="s">
        <v>142</v>
      </c>
      <c r="E271" t="s">
        <v>562</v>
      </c>
      <c r="F271" t="s">
        <v>7</v>
      </c>
      <c r="G271" s="1">
        <v>1</v>
      </c>
      <c r="K271" s="1">
        <v>268</v>
      </c>
      <c r="L271" t="s">
        <v>1357</v>
      </c>
      <c r="M271" t="s">
        <v>1358</v>
      </c>
      <c r="N271" t="s">
        <v>142</v>
      </c>
      <c r="O271" t="s">
        <v>562</v>
      </c>
      <c r="P271" t="s">
        <v>7</v>
      </c>
      <c r="Q271" s="1">
        <v>1</v>
      </c>
    </row>
    <row r="272" spans="1:17" x14ac:dyDescent="0.35">
      <c r="A272" s="1">
        <f>ROW()-ROW(DATABARANG!$A$3)</f>
        <v>269</v>
      </c>
      <c r="B272" t="s">
        <v>1401</v>
      </c>
      <c r="C272" t="s">
        <v>1402</v>
      </c>
      <c r="D272" t="s">
        <v>510</v>
      </c>
      <c r="E272" t="s">
        <v>30</v>
      </c>
      <c r="F272" t="s">
        <v>7</v>
      </c>
      <c r="G272" s="1">
        <v>1</v>
      </c>
      <c r="K272" s="1">
        <v>269</v>
      </c>
      <c r="L272" t="s">
        <v>1401</v>
      </c>
      <c r="M272" t="s">
        <v>1402</v>
      </c>
      <c r="N272" t="s">
        <v>510</v>
      </c>
      <c r="O272" t="s">
        <v>30</v>
      </c>
      <c r="P272" t="s">
        <v>7</v>
      </c>
      <c r="Q272" s="1">
        <v>1</v>
      </c>
    </row>
    <row r="273" spans="1:17" x14ac:dyDescent="0.35">
      <c r="A273" s="1">
        <f>ROW()-ROW(DATABARANG!$A$3)</f>
        <v>270</v>
      </c>
      <c r="B273" t="s">
        <v>1403</v>
      </c>
      <c r="C273" t="s">
        <v>1404</v>
      </c>
      <c r="D273" t="s">
        <v>510</v>
      </c>
      <c r="E273" t="s">
        <v>30</v>
      </c>
      <c r="F273" t="s">
        <v>7</v>
      </c>
      <c r="G273" s="1">
        <v>1</v>
      </c>
      <c r="K273" s="1">
        <v>270</v>
      </c>
      <c r="L273" t="s">
        <v>1403</v>
      </c>
      <c r="M273" t="s">
        <v>1404</v>
      </c>
      <c r="N273" t="s">
        <v>510</v>
      </c>
      <c r="O273" t="s">
        <v>30</v>
      </c>
      <c r="P273" t="s">
        <v>7</v>
      </c>
      <c r="Q273" s="1">
        <v>1</v>
      </c>
    </row>
    <row r="274" spans="1:17" x14ac:dyDescent="0.35">
      <c r="A274" s="1">
        <f>ROW()-ROW(DATABARANG!$A$3)</f>
        <v>271</v>
      </c>
      <c r="B274" t="s">
        <v>1405</v>
      </c>
      <c r="C274" t="s">
        <v>1406</v>
      </c>
      <c r="D274" t="s">
        <v>510</v>
      </c>
      <c r="E274" t="s">
        <v>30</v>
      </c>
      <c r="F274" t="s">
        <v>7</v>
      </c>
      <c r="G274" s="1">
        <v>1</v>
      </c>
      <c r="K274" s="1">
        <v>271</v>
      </c>
      <c r="L274" t="s">
        <v>1405</v>
      </c>
      <c r="M274" t="s">
        <v>1406</v>
      </c>
      <c r="N274" t="s">
        <v>510</v>
      </c>
      <c r="O274" t="s">
        <v>30</v>
      </c>
      <c r="P274" t="s">
        <v>7</v>
      </c>
      <c r="Q274" s="1">
        <v>1</v>
      </c>
    </row>
    <row r="275" spans="1:17" x14ac:dyDescent="0.35">
      <c r="A275" s="1">
        <f>ROW()-ROW(DATABARANG!$A$3)</f>
        <v>272</v>
      </c>
      <c r="B275" t="s">
        <v>1407</v>
      </c>
      <c r="C275" t="s">
        <v>1408</v>
      </c>
      <c r="D275" t="s">
        <v>510</v>
      </c>
      <c r="E275" t="s">
        <v>1409</v>
      </c>
      <c r="F275" t="s">
        <v>7</v>
      </c>
      <c r="G275" s="1">
        <v>2</v>
      </c>
      <c r="K275" s="1">
        <v>272</v>
      </c>
      <c r="L275" t="s">
        <v>1407</v>
      </c>
      <c r="M275" t="s">
        <v>1408</v>
      </c>
      <c r="N275" t="s">
        <v>510</v>
      </c>
      <c r="O275" t="s">
        <v>1409</v>
      </c>
      <c r="P275" t="s">
        <v>7</v>
      </c>
      <c r="Q275" s="1">
        <v>2</v>
      </c>
    </row>
    <row r="276" spans="1:17" x14ac:dyDescent="0.35">
      <c r="A276" s="1">
        <f>ROW()-ROW(DATABARANG!$A$3)</f>
        <v>273</v>
      </c>
      <c r="B276" t="s">
        <v>1410</v>
      </c>
      <c r="C276" t="s">
        <v>1411</v>
      </c>
      <c r="D276" t="s">
        <v>1412</v>
      </c>
      <c r="E276" t="s">
        <v>30</v>
      </c>
      <c r="F276" t="s">
        <v>7</v>
      </c>
      <c r="G276" s="1">
        <v>1</v>
      </c>
      <c r="K276" s="1">
        <v>273</v>
      </c>
      <c r="L276" t="s">
        <v>1410</v>
      </c>
      <c r="M276" t="s">
        <v>1411</v>
      </c>
      <c r="N276" t="s">
        <v>1412</v>
      </c>
      <c r="O276" t="s">
        <v>30</v>
      </c>
      <c r="P276" t="s">
        <v>7</v>
      </c>
      <c r="Q276" s="1">
        <v>1</v>
      </c>
    </row>
    <row r="277" spans="1:17" x14ac:dyDescent="0.35">
      <c r="A277" s="1">
        <f>ROW()-ROW(DATABARANG!$A$3)</f>
        <v>274</v>
      </c>
      <c r="B277" t="s">
        <v>1413</v>
      </c>
      <c r="C277" t="s">
        <v>1414</v>
      </c>
      <c r="D277" t="s">
        <v>510</v>
      </c>
      <c r="E277" t="s">
        <v>30</v>
      </c>
      <c r="F277" t="s">
        <v>7</v>
      </c>
      <c r="G277" s="1">
        <v>1</v>
      </c>
      <c r="K277" s="1">
        <v>274</v>
      </c>
      <c r="L277" t="s">
        <v>1413</v>
      </c>
      <c r="M277" t="s">
        <v>1414</v>
      </c>
      <c r="N277" t="s">
        <v>510</v>
      </c>
      <c r="O277" t="s">
        <v>30</v>
      </c>
      <c r="P277" t="s">
        <v>7</v>
      </c>
      <c r="Q277" s="1">
        <v>1</v>
      </c>
    </row>
    <row r="278" spans="1:17" x14ac:dyDescent="0.35">
      <c r="A278" s="1">
        <f>ROW()-ROW(DATABARANG!$A$3)</f>
        <v>275</v>
      </c>
      <c r="B278" t="s">
        <v>1415</v>
      </c>
      <c r="C278" t="s">
        <v>1416</v>
      </c>
      <c r="D278" t="s">
        <v>510</v>
      </c>
      <c r="E278" t="s">
        <v>30</v>
      </c>
      <c r="F278" t="s">
        <v>7</v>
      </c>
      <c r="G278" s="1">
        <v>2</v>
      </c>
      <c r="K278" s="1">
        <v>275</v>
      </c>
      <c r="L278" t="s">
        <v>1415</v>
      </c>
      <c r="M278" t="s">
        <v>1416</v>
      </c>
      <c r="N278" t="s">
        <v>510</v>
      </c>
      <c r="O278" t="s">
        <v>30</v>
      </c>
      <c r="P278" t="s">
        <v>7</v>
      </c>
      <c r="Q278" s="1">
        <v>2</v>
      </c>
    </row>
    <row r="279" spans="1:17" x14ac:dyDescent="0.35">
      <c r="A279" s="1">
        <f>ROW()-ROW(DATABARANG!$A$3)</f>
        <v>276</v>
      </c>
      <c r="B279" t="s">
        <v>1417</v>
      </c>
      <c r="C279" t="s">
        <v>1418</v>
      </c>
      <c r="D279" t="s">
        <v>510</v>
      </c>
      <c r="E279" t="s">
        <v>30</v>
      </c>
      <c r="F279" t="s">
        <v>7</v>
      </c>
      <c r="G279" s="1">
        <v>2</v>
      </c>
      <c r="K279" s="1">
        <v>276</v>
      </c>
      <c r="L279" t="s">
        <v>1417</v>
      </c>
      <c r="M279" t="s">
        <v>1418</v>
      </c>
      <c r="N279" t="s">
        <v>510</v>
      </c>
      <c r="O279" t="s">
        <v>30</v>
      </c>
      <c r="P279" t="s">
        <v>7</v>
      </c>
      <c r="Q279" s="1">
        <v>2</v>
      </c>
    </row>
    <row r="280" spans="1:17" x14ac:dyDescent="0.35">
      <c r="A280" s="1">
        <f>ROW()-ROW(DATABARANG!$A$3)</f>
        <v>277</v>
      </c>
      <c r="B280" t="s">
        <v>1419</v>
      </c>
      <c r="C280" t="s">
        <v>1420</v>
      </c>
      <c r="D280" t="s">
        <v>510</v>
      </c>
      <c r="E280" t="s">
        <v>1409</v>
      </c>
      <c r="F280" t="s">
        <v>7</v>
      </c>
      <c r="G280" s="1">
        <v>1</v>
      </c>
      <c r="K280" s="1">
        <v>277</v>
      </c>
      <c r="L280" t="s">
        <v>1419</v>
      </c>
      <c r="M280" t="s">
        <v>1420</v>
      </c>
      <c r="N280" t="s">
        <v>510</v>
      </c>
      <c r="O280" t="s">
        <v>1409</v>
      </c>
      <c r="P280" t="s">
        <v>7</v>
      </c>
      <c r="Q280" s="1">
        <v>1</v>
      </c>
    </row>
    <row r="281" spans="1:17" x14ac:dyDescent="0.35">
      <c r="A281" s="1">
        <f>ROW()-ROW(DATABARANG!$A$3)</f>
        <v>278</v>
      </c>
      <c r="B281" t="s">
        <v>1421</v>
      </c>
      <c r="C281" t="s">
        <v>1422</v>
      </c>
      <c r="D281" t="s">
        <v>510</v>
      </c>
      <c r="E281" t="s">
        <v>30</v>
      </c>
      <c r="F281" t="s">
        <v>7</v>
      </c>
      <c r="G281" s="1">
        <v>1</v>
      </c>
      <c r="K281" s="1">
        <v>278</v>
      </c>
      <c r="L281" t="s">
        <v>1421</v>
      </c>
      <c r="M281" t="s">
        <v>1422</v>
      </c>
      <c r="N281" t="s">
        <v>510</v>
      </c>
      <c r="O281" t="s">
        <v>30</v>
      </c>
      <c r="P281" t="s">
        <v>7</v>
      </c>
      <c r="Q281" s="1">
        <v>1</v>
      </c>
    </row>
    <row r="282" spans="1:17" x14ac:dyDescent="0.35">
      <c r="A282" s="1">
        <f>ROW()-ROW(DATABARANG!$A$3)</f>
        <v>279</v>
      </c>
      <c r="B282" t="s">
        <v>1423</v>
      </c>
      <c r="C282" t="s">
        <v>1424</v>
      </c>
      <c r="D282" t="s">
        <v>510</v>
      </c>
      <c r="E282" t="s">
        <v>30</v>
      </c>
      <c r="F282" t="s">
        <v>7</v>
      </c>
      <c r="G282" s="1">
        <v>1</v>
      </c>
      <c r="K282" s="1">
        <v>279</v>
      </c>
      <c r="L282" t="s">
        <v>1423</v>
      </c>
      <c r="M282" t="s">
        <v>1424</v>
      </c>
      <c r="N282" t="s">
        <v>510</v>
      </c>
      <c r="O282" t="s">
        <v>30</v>
      </c>
      <c r="P282" t="s">
        <v>7</v>
      </c>
      <c r="Q282" s="1">
        <v>1</v>
      </c>
    </row>
    <row r="283" spans="1:17" x14ac:dyDescent="0.35">
      <c r="A283" s="1">
        <f>ROW()-ROW(DATABARANG!$A$3)</f>
        <v>280</v>
      </c>
      <c r="B283" t="s">
        <v>1425</v>
      </c>
      <c r="C283" t="s">
        <v>1426</v>
      </c>
      <c r="D283" t="s">
        <v>510</v>
      </c>
      <c r="E283" t="s">
        <v>30</v>
      </c>
      <c r="F283" t="s">
        <v>7</v>
      </c>
      <c r="G283" s="1">
        <v>1</v>
      </c>
      <c r="K283" s="1">
        <v>280</v>
      </c>
      <c r="L283" t="s">
        <v>1425</v>
      </c>
      <c r="M283" t="s">
        <v>1426</v>
      </c>
      <c r="N283" t="s">
        <v>510</v>
      </c>
      <c r="O283" t="s">
        <v>30</v>
      </c>
      <c r="P283" t="s">
        <v>7</v>
      </c>
      <c r="Q283" s="1">
        <v>1</v>
      </c>
    </row>
    <row r="284" spans="1:17" x14ac:dyDescent="0.35">
      <c r="A284" s="1">
        <f>ROW()-ROW(DATABARANG!$A$3)</f>
        <v>281</v>
      </c>
      <c r="B284" t="s">
        <v>1427</v>
      </c>
      <c r="C284" t="s">
        <v>1428</v>
      </c>
      <c r="D284" t="s">
        <v>510</v>
      </c>
      <c r="E284" t="s">
        <v>30</v>
      </c>
      <c r="F284" t="s">
        <v>7</v>
      </c>
      <c r="G284" s="1">
        <v>0</v>
      </c>
      <c r="K284" s="1">
        <v>281</v>
      </c>
      <c r="L284" t="s">
        <v>1427</v>
      </c>
      <c r="M284" t="s">
        <v>1428</v>
      </c>
      <c r="N284" t="s">
        <v>510</v>
      </c>
      <c r="O284" t="s">
        <v>30</v>
      </c>
      <c r="P284" t="s">
        <v>7</v>
      </c>
      <c r="Q284" s="1">
        <v>0</v>
      </c>
    </row>
    <row r="285" spans="1:17" x14ac:dyDescent="0.35">
      <c r="A285" s="1">
        <f>ROW()-ROW(DATABARANG!$A$3)</f>
        <v>282</v>
      </c>
      <c r="B285" t="s">
        <v>1429</v>
      </c>
      <c r="C285" t="s">
        <v>1430</v>
      </c>
      <c r="D285" t="s">
        <v>510</v>
      </c>
      <c r="E285" t="s">
        <v>30</v>
      </c>
      <c r="F285" t="s">
        <v>7</v>
      </c>
      <c r="G285" s="1">
        <v>0</v>
      </c>
      <c r="K285" s="1">
        <v>282</v>
      </c>
      <c r="L285" t="s">
        <v>1429</v>
      </c>
      <c r="M285" t="s">
        <v>1430</v>
      </c>
      <c r="N285" t="s">
        <v>510</v>
      </c>
      <c r="O285" t="s">
        <v>30</v>
      </c>
      <c r="P285" t="s">
        <v>7</v>
      </c>
      <c r="Q285" s="1">
        <v>0</v>
      </c>
    </row>
    <row r="286" spans="1:17" x14ac:dyDescent="0.35">
      <c r="A286" s="1">
        <f>ROW()-ROW(DATABARANG!$A$3)</f>
        <v>283</v>
      </c>
      <c r="B286" t="s">
        <v>1431</v>
      </c>
      <c r="C286" t="s">
        <v>1432</v>
      </c>
      <c r="D286" t="s">
        <v>510</v>
      </c>
      <c r="E286" t="s">
        <v>30</v>
      </c>
      <c r="F286" t="s">
        <v>7</v>
      </c>
      <c r="G286" s="1">
        <v>0</v>
      </c>
      <c r="K286" s="1">
        <v>283</v>
      </c>
      <c r="L286" t="s">
        <v>1431</v>
      </c>
      <c r="M286" t="s">
        <v>1432</v>
      </c>
      <c r="N286" t="s">
        <v>510</v>
      </c>
      <c r="O286" t="s">
        <v>30</v>
      </c>
      <c r="P286" t="s">
        <v>7</v>
      </c>
      <c r="Q286" s="1">
        <v>0</v>
      </c>
    </row>
    <row r="287" spans="1:17" x14ac:dyDescent="0.35">
      <c r="A287" s="1">
        <f>ROW()-ROW(DATABARANG!$A$3)</f>
        <v>284</v>
      </c>
      <c r="B287" t="s">
        <v>1433</v>
      </c>
      <c r="C287" t="s">
        <v>1434</v>
      </c>
      <c r="D287" t="s">
        <v>510</v>
      </c>
      <c r="E287" t="s">
        <v>30</v>
      </c>
      <c r="F287" t="s">
        <v>7</v>
      </c>
      <c r="G287" s="1">
        <v>1</v>
      </c>
      <c r="K287" s="1">
        <v>284</v>
      </c>
      <c r="L287" t="s">
        <v>1433</v>
      </c>
      <c r="M287" t="s">
        <v>1434</v>
      </c>
      <c r="N287" t="s">
        <v>510</v>
      </c>
      <c r="O287" t="s">
        <v>30</v>
      </c>
      <c r="P287" t="s">
        <v>7</v>
      </c>
      <c r="Q287" s="1">
        <v>1</v>
      </c>
    </row>
    <row r="288" spans="1:17" x14ac:dyDescent="0.35">
      <c r="A288" s="1">
        <f>ROW()-ROW(DATABARANG!$A$3)</f>
        <v>285</v>
      </c>
      <c r="B288" t="s">
        <v>1435</v>
      </c>
      <c r="C288" t="s">
        <v>1436</v>
      </c>
      <c r="D288" t="s">
        <v>510</v>
      </c>
      <c r="E288" t="s">
        <v>30</v>
      </c>
      <c r="F288" t="s">
        <v>7</v>
      </c>
      <c r="G288" s="1">
        <v>1</v>
      </c>
      <c r="K288" s="1">
        <v>285</v>
      </c>
      <c r="L288" t="s">
        <v>1435</v>
      </c>
      <c r="M288" t="s">
        <v>1436</v>
      </c>
      <c r="N288" t="s">
        <v>510</v>
      </c>
      <c r="O288" t="s">
        <v>30</v>
      </c>
      <c r="P288" t="s">
        <v>7</v>
      </c>
      <c r="Q288" s="1">
        <v>1</v>
      </c>
    </row>
    <row r="289" spans="1:17" x14ac:dyDescent="0.35">
      <c r="A289" s="1">
        <f>ROW()-ROW(DATABARANG!$A$3)</f>
        <v>286</v>
      </c>
      <c r="B289" t="s">
        <v>1437</v>
      </c>
      <c r="C289" t="s">
        <v>1438</v>
      </c>
      <c r="D289" t="s">
        <v>510</v>
      </c>
      <c r="E289" t="s">
        <v>1409</v>
      </c>
      <c r="F289" t="s">
        <v>7</v>
      </c>
      <c r="G289" s="1">
        <v>1</v>
      </c>
      <c r="K289" s="1">
        <v>286</v>
      </c>
      <c r="L289" t="s">
        <v>1437</v>
      </c>
      <c r="M289" t="s">
        <v>1438</v>
      </c>
      <c r="N289" t="s">
        <v>510</v>
      </c>
      <c r="O289" t="s">
        <v>1409</v>
      </c>
      <c r="P289" t="s">
        <v>7</v>
      </c>
      <c r="Q289" s="1">
        <v>1</v>
      </c>
    </row>
    <row r="290" spans="1:17" x14ac:dyDescent="0.35">
      <c r="A290" s="1">
        <f>ROW()-ROW(DATABARANG!$A$3)</f>
        <v>287</v>
      </c>
      <c r="B290" t="s">
        <v>1439</v>
      </c>
      <c r="C290" t="s">
        <v>1440</v>
      </c>
      <c r="D290" t="s">
        <v>510</v>
      </c>
      <c r="E290" t="s">
        <v>1409</v>
      </c>
      <c r="F290" t="s">
        <v>7</v>
      </c>
      <c r="G290" s="1">
        <v>1</v>
      </c>
      <c r="K290" s="1">
        <v>287</v>
      </c>
      <c r="L290" t="s">
        <v>1439</v>
      </c>
      <c r="M290" t="s">
        <v>1440</v>
      </c>
      <c r="N290" t="s">
        <v>510</v>
      </c>
      <c r="O290" t="s">
        <v>1409</v>
      </c>
      <c r="P290" t="s">
        <v>7</v>
      </c>
      <c r="Q290" s="1">
        <v>1</v>
      </c>
    </row>
    <row r="291" spans="1:17" x14ac:dyDescent="0.35">
      <c r="A291" s="1">
        <f>ROW()-ROW(DATABARANG!$A$3)</f>
        <v>288</v>
      </c>
      <c r="B291" t="s">
        <v>1442</v>
      </c>
      <c r="C291" t="s">
        <v>1443</v>
      </c>
      <c r="D291" t="s">
        <v>510</v>
      </c>
      <c r="E291" t="s">
        <v>1409</v>
      </c>
      <c r="F291" t="s">
        <v>7</v>
      </c>
      <c r="G291" s="1">
        <v>3</v>
      </c>
      <c r="K291" s="1">
        <v>288</v>
      </c>
      <c r="L291" t="s">
        <v>1442</v>
      </c>
      <c r="M291" t="s">
        <v>1443</v>
      </c>
      <c r="N291" t="s">
        <v>510</v>
      </c>
      <c r="O291" t="s">
        <v>1409</v>
      </c>
      <c r="P291" t="s">
        <v>7</v>
      </c>
      <c r="Q291" s="1">
        <v>3</v>
      </c>
    </row>
    <row r="292" spans="1:17" x14ac:dyDescent="0.35">
      <c r="A292" s="1">
        <f>ROW()-ROW(DATABARANG!$A$3)</f>
        <v>289</v>
      </c>
      <c r="B292" t="s">
        <v>1495</v>
      </c>
      <c r="C292" t="s">
        <v>1496</v>
      </c>
      <c r="D292" t="s">
        <v>510</v>
      </c>
      <c r="E292" t="s">
        <v>1409</v>
      </c>
      <c r="F292" t="s">
        <v>7</v>
      </c>
      <c r="G292" s="1">
        <v>0</v>
      </c>
      <c r="K292" s="1">
        <v>289</v>
      </c>
      <c r="L292" t="s">
        <v>1495</v>
      </c>
      <c r="M292" t="s">
        <v>1496</v>
      </c>
      <c r="N292" t="s">
        <v>510</v>
      </c>
      <c r="O292" t="s">
        <v>1409</v>
      </c>
      <c r="P292" t="s">
        <v>7</v>
      </c>
      <c r="Q292" s="1">
        <v>0</v>
      </c>
    </row>
    <row r="293" spans="1:17" x14ac:dyDescent="0.35">
      <c r="A293" s="1">
        <f>ROW()-ROW(DATABARANG!$A$3)</f>
        <v>290</v>
      </c>
      <c r="B293" t="s">
        <v>1502</v>
      </c>
      <c r="C293" t="s">
        <v>1503</v>
      </c>
      <c r="D293" t="s">
        <v>151</v>
      </c>
      <c r="E293" t="s">
        <v>30</v>
      </c>
      <c r="F293" t="s">
        <v>7</v>
      </c>
      <c r="G293" s="1">
        <v>0</v>
      </c>
      <c r="K293" s="1">
        <v>290</v>
      </c>
      <c r="L293" t="s">
        <v>1502</v>
      </c>
      <c r="M293" t="s">
        <v>1503</v>
      </c>
      <c r="N293" t="s">
        <v>151</v>
      </c>
      <c r="O293" t="s">
        <v>30</v>
      </c>
      <c r="P293" t="s">
        <v>7</v>
      </c>
      <c r="Q293" s="1">
        <v>0</v>
      </c>
    </row>
    <row r="294" spans="1:17" x14ac:dyDescent="0.35">
      <c r="A294" s="1">
        <f>ROW()-ROW(DATABARANG!$A$3)</f>
        <v>291</v>
      </c>
      <c r="B294" t="s">
        <v>1517</v>
      </c>
      <c r="C294" t="s">
        <v>1518</v>
      </c>
      <c r="D294" t="s">
        <v>76</v>
      </c>
      <c r="E294" t="s">
        <v>30</v>
      </c>
      <c r="F294" t="s">
        <v>7</v>
      </c>
      <c r="G294" s="1">
        <v>0</v>
      </c>
      <c r="K294" s="1">
        <v>291</v>
      </c>
      <c r="L294" t="s">
        <v>1517</v>
      </c>
      <c r="M294" t="s">
        <v>1518</v>
      </c>
      <c r="N294" t="s">
        <v>76</v>
      </c>
      <c r="O294" t="s">
        <v>30</v>
      </c>
      <c r="P294" t="s">
        <v>7</v>
      </c>
      <c r="Q294" s="1">
        <v>0</v>
      </c>
    </row>
    <row r="295" spans="1:17" x14ac:dyDescent="0.35">
      <c r="A295" s="1">
        <f>ROW()-ROW(DATABARANG!$A$3)</f>
        <v>292</v>
      </c>
      <c r="B295" t="s">
        <v>1532</v>
      </c>
      <c r="C295" t="s">
        <v>1496</v>
      </c>
      <c r="D295" t="s">
        <v>510</v>
      </c>
      <c r="E295" t="s">
        <v>1409</v>
      </c>
      <c r="F295" t="s">
        <v>7</v>
      </c>
      <c r="G295" s="1">
        <v>1</v>
      </c>
      <c r="K295" s="1">
        <v>292</v>
      </c>
      <c r="L295" t="s">
        <v>1532</v>
      </c>
      <c r="M295" t="s">
        <v>1496</v>
      </c>
      <c r="N295" t="s">
        <v>510</v>
      </c>
      <c r="O295" t="s">
        <v>1409</v>
      </c>
      <c r="P295" t="s">
        <v>7</v>
      </c>
      <c r="Q295" s="1">
        <v>1</v>
      </c>
    </row>
    <row r="296" spans="1:17" x14ac:dyDescent="0.35">
      <c r="A296" s="1">
        <f>ROW()-ROW(DATABARANG!$A$3)</f>
        <v>293</v>
      </c>
      <c r="B296" t="s">
        <v>1555</v>
      </c>
      <c r="C296" t="s">
        <v>1556</v>
      </c>
      <c r="D296" t="s">
        <v>147</v>
      </c>
      <c r="E296" t="s">
        <v>30</v>
      </c>
      <c r="F296" t="s">
        <v>7</v>
      </c>
      <c r="G296" s="1">
        <v>0</v>
      </c>
      <c r="K296" s="1">
        <v>293</v>
      </c>
      <c r="L296" t="s">
        <v>1555</v>
      </c>
      <c r="M296" t="s">
        <v>1556</v>
      </c>
      <c r="N296" t="s">
        <v>147</v>
      </c>
      <c r="O296" t="s">
        <v>30</v>
      </c>
      <c r="P296" t="s">
        <v>7</v>
      </c>
      <c r="Q296" s="1">
        <v>0</v>
      </c>
    </row>
    <row r="297" spans="1:17" x14ac:dyDescent="0.35">
      <c r="A297" s="1">
        <f>ROW()-ROW(DATABARANG!$A$3)</f>
        <v>294</v>
      </c>
      <c r="B297" t="s">
        <v>1567</v>
      </c>
      <c r="C297" t="s">
        <v>1568</v>
      </c>
      <c r="D297" t="s">
        <v>379</v>
      </c>
      <c r="E297" t="s">
        <v>30</v>
      </c>
      <c r="F297" t="s">
        <v>7</v>
      </c>
      <c r="G297" s="1">
        <v>0</v>
      </c>
      <c r="K297" s="1">
        <v>294</v>
      </c>
      <c r="L297" t="s">
        <v>1567</v>
      </c>
      <c r="M297" t="s">
        <v>1568</v>
      </c>
      <c r="N297" t="s">
        <v>379</v>
      </c>
      <c r="O297" t="s">
        <v>30</v>
      </c>
      <c r="P297" t="s">
        <v>7</v>
      </c>
      <c r="Q297" s="1">
        <v>0</v>
      </c>
    </row>
    <row r="298" spans="1:17" x14ac:dyDescent="0.35">
      <c r="A298" s="1">
        <f>ROW()-ROW(DATABARANG!$A$3)</f>
        <v>295</v>
      </c>
      <c r="B298" t="s">
        <v>1569</v>
      </c>
      <c r="C298" t="s">
        <v>1570</v>
      </c>
      <c r="D298" t="s">
        <v>142</v>
      </c>
      <c r="E298" t="s">
        <v>30</v>
      </c>
      <c r="F298" t="s">
        <v>7</v>
      </c>
      <c r="G298" s="1">
        <v>0</v>
      </c>
      <c r="K298" s="1">
        <v>295</v>
      </c>
      <c r="L298" t="s">
        <v>1569</v>
      </c>
      <c r="M298" t="s">
        <v>1570</v>
      </c>
      <c r="N298" t="s">
        <v>142</v>
      </c>
      <c r="O298" t="s">
        <v>30</v>
      </c>
      <c r="P298" t="s">
        <v>7</v>
      </c>
      <c r="Q298" s="1">
        <v>0</v>
      </c>
    </row>
    <row r="299" spans="1:17" x14ac:dyDescent="0.35">
      <c r="A299" s="1">
        <f>ROW()-ROW(DATABARANG!$A$3)</f>
        <v>296</v>
      </c>
      <c r="B299" t="s">
        <v>1631</v>
      </c>
      <c r="C299" t="s">
        <v>1632</v>
      </c>
      <c r="D299" t="s">
        <v>142</v>
      </c>
      <c r="E299" t="s">
        <v>1409</v>
      </c>
      <c r="F299" t="s">
        <v>7</v>
      </c>
      <c r="G299" s="1">
        <v>9</v>
      </c>
      <c r="K299" s="1">
        <v>296</v>
      </c>
      <c r="L299" t="s">
        <v>1631</v>
      </c>
      <c r="M299" t="s">
        <v>1632</v>
      </c>
      <c r="N299" t="s">
        <v>142</v>
      </c>
      <c r="O299" t="s">
        <v>1409</v>
      </c>
      <c r="P299" t="s">
        <v>7</v>
      </c>
      <c r="Q299" s="1">
        <v>9</v>
      </c>
    </row>
    <row r="300" spans="1:17" x14ac:dyDescent="0.35">
      <c r="A300" s="1">
        <f>ROW()-ROW(DATABARANG!$A$3)</f>
        <v>297</v>
      </c>
      <c r="B300" t="s">
        <v>1633</v>
      </c>
      <c r="C300" t="s">
        <v>1634</v>
      </c>
      <c r="D300" t="s">
        <v>142</v>
      </c>
      <c r="E300" t="s">
        <v>1409</v>
      </c>
      <c r="F300" t="s">
        <v>7</v>
      </c>
      <c r="G300" s="1">
        <v>1</v>
      </c>
      <c r="K300" s="1">
        <v>297</v>
      </c>
      <c r="L300" t="s">
        <v>1633</v>
      </c>
      <c r="M300" t="s">
        <v>1634</v>
      </c>
      <c r="N300" t="s">
        <v>142</v>
      </c>
      <c r="O300" t="s">
        <v>1409</v>
      </c>
      <c r="P300" t="s">
        <v>7</v>
      </c>
      <c r="Q300" s="1">
        <v>1</v>
      </c>
    </row>
    <row r="301" spans="1:17" x14ac:dyDescent="0.35">
      <c r="A301" s="1">
        <f>ROW()-ROW(DATABARANG!$A$3)</f>
        <v>298</v>
      </c>
      <c r="B301" t="s">
        <v>1635</v>
      </c>
      <c r="C301" t="s">
        <v>1636</v>
      </c>
      <c r="D301" t="s">
        <v>142</v>
      </c>
      <c r="E301" t="s">
        <v>1409</v>
      </c>
      <c r="F301" t="s">
        <v>7</v>
      </c>
      <c r="G301" s="1">
        <v>30</v>
      </c>
      <c r="K301" s="1">
        <v>298</v>
      </c>
      <c r="L301" t="s">
        <v>1635</v>
      </c>
      <c r="M301" t="s">
        <v>1636</v>
      </c>
      <c r="N301" t="s">
        <v>142</v>
      </c>
      <c r="O301" t="s">
        <v>1409</v>
      </c>
      <c r="P301" t="s">
        <v>7</v>
      </c>
      <c r="Q301" s="1">
        <v>30</v>
      </c>
    </row>
    <row r="302" spans="1:17" x14ac:dyDescent="0.35">
      <c r="A302" s="1">
        <f>ROW()-ROW(DATABARANG!$A$3)</f>
        <v>299</v>
      </c>
      <c r="B302" t="s">
        <v>1641</v>
      </c>
      <c r="C302" t="s">
        <v>1642</v>
      </c>
      <c r="D302" t="s">
        <v>510</v>
      </c>
      <c r="E302" t="s">
        <v>30</v>
      </c>
      <c r="F302" t="s">
        <v>7</v>
      </c>
      <c r="G302" s="1">
        <v>3</v>
      </c>
      <c r="K302" s="1">
        <v>299</v>
      </c>
      <c r="L302" t="s">
        <v>1641</v>
      </c>
      <c r="M302" t="s">
        <v>1642</v>
      </c>
      <c r="N302" t="s">
        <v>510</v>
      </c>
      <c r="O302" t="s">
        <v>30</v>
      </c>
      <c r="P302" t="s">
        <v>7</v>
      </c>
      <c r="Q302" s="1">
        <v>3</v>
      </c>
    </row>
    <row r="303" spans="1:17" x14ac:dyDescent="0.35">
      <c r="A303" s="1">
        <f>ROW()-ROW(DATABARANG!$A$3)</f>
        <v>300</v>
      </c>
      <c r="B303" t="s">
        <v>1689</v>
      </c>
      <c r="C303" t="s">
        <v>1690</v>
      </c>
      <c r="D303" t="s">
        <v>76</v>
      </c>
      <c r="E303" t="s">
        <v>30</v>
      </c>
      <c r="F303" t="s">
        <v>7</v>
      </c>
      <c r="G303" s="1">
        <v>2</v>
      </c>
      <c r="K303" s="1">
        <v>300</v>
      </c>
      <c r="L303" t="s">
        <v>1689</v>
      </c>
      <c r="M303" t="s">
        <v>1690</v>
      </c>
      <c r="N303" t="s">
        <v>76</v>
      </c>
      <c r="O303" t="s">
        <v>30</v>
      </c>
      <c r="P303" t="s">
        <v>7</v>
      </c>
      <c r="Q303" s="1">
        <v>2</v>
      </c>
    </row>
    <row r="304" spans="1:17" x14ac:dyDescent="0.35">
      <c r="A304" s="1">
        <f>ROW()-ROW(DATABARANG!$A$3)</f>
        <v>301</v>
      </c>
      <c r="B304" t="s">
        <v>1693</v>
      </c>
      <c r="C304" t="s">
        <v>1695</v>
      </c>
      <c r="D304" t="s">
        <v>200</v>
      </c>
      <c r="E304" t="s">
        <v>47</v>
      </c>
      <c r="F304" t="s">
        <v>7</v>
      </c>
      <c r="G304" s="1">
        <v>1</v>
      </c>
      <c r="K304" s="1">
        <v>301</v>
      </c>
      <c r="L304" t="s">
        <v>1693</v>
      </c>
      <c r="M304" t="s">
        <v>1695</v>
      </c>
      <c r="N304" t="s">
        <v>200</v>
      </c>
      <c r="O304" t="s">
        <v>47</v>
      </c>
      <c r="P304" t="s">
        <v>7</v>
      </c>
      <c r="Q304" s="1">
        <v>1</v>
      </c>
    </row>
    <row r="305" spans="1:17" x14ac:dyDescent="0.35">
      <c r="A305" s="1">
        <f>ROW()-ROW(DATABARANG!$A$3)</f>
        <v>302</v>
      </c>
      <c r="B305" t="s">
        <v>1697</v>
      </c>
      <c r="C305" t="s">
        <v>1698</v>
      </c>
      <c r="D305" t="s">
        <v>76</v>
      </c>
      <c r="E305" t="s">
        <v>30</v>
      </c>
      <c r="F305" t="s">
        <v>7</v>
      </c>
      <c r="G305" s="1">
        <v>2</v>
      </c>
      <c r="K305" s="1">
        <v>302</v>
      </c>
      <c r="L305" t="s">
        <v>1697</v>
      </c>
      <c r="M305" t="s">
        <v>1698</v>
      </c>
      <c r="N305" t="s">
        <v>76</v>
      </c>
      <c r="O305" t="s">
        <v>30</v>
      </c>
      <c r="P305" t="s">
        <v>7</v>
      </c>
      <c r="Q305" s="1">
        <v>2</v>
      </c>
    </row>
    <row r="306" spans="1:17" x14ac:dyDescent="0.35">
      <c r="A306" s="1">
        <f>ROW()-ROW(DATABARANG!$A$3)</f>
        <v>303</v>
      </c>
      <c r="B306" t="s">
        <v>1706</v>
      </c>
      <c r="C306" t="s">
        <v>1707</v>
      </c>
      <c r="D306" t="s">
        <v>1271</v>
      </c>
      <c r="E306" t="s">
        <v>47</v>
      </c>
      <c r="F306" t="s">
        <v>7</v>
      </c>
      <c r="G306" s="1">
        <v>0</v>
      </c>
      <c r="K306" s="1">
        <v>303</v>
      </c>
      <c r="L306" t="s">
        <v>1706</v>
      </c>
      <c r="M306" t="s">
        <v>1707</v>
      </c>
      <c r="N306" t="s">
        <v>1271</v>
      </c>
      <c r="O306" t="s">
        <v>47</v>
      </c>
      <c r="P306" t="s">
        <v>7</v>
      </c>
      <c r="Q306" s="1">
        <v>0</v>
      </c>
    </row>
    <row r="307" spans="1:17" x14ac:dyDescent="0.35">
      <c r="A307" s="1">
        <f>ROW()-ROW(DATABARANG!$A$3)</f>
        <v>304</v>
      </c>
      <c r="B307" t="s">
        <v>1708</v>
      </c>
      <c r="C307" t="s">
        <v>1709</v>
      </c>
      <c r="D307" t="s">
        <v>1271</v>
      </c>
      <c r="E307" t="s">
        <v>47</v>
      </c>
      <c r="F307" t="s">
        <v>7</v>
      </c>
      <c r="G307" s="1">
        <v>0</v>
      </c>
      <c r="K307" s="1">
        <v>304</v>
      </c>
      <c r="L307" t="s">
        <v>1708</v>
      </c>
      <c r="M307" t="s">
        <v>1709</v>
      </c>
      <c r="N307" t="s">
        <v>1271</v>
      </c>
      <c r="O307" t="s">
        <v>47</v>
      </c>
      <c r="P307" t="s">
        <v>7</v>
      </c>
      <c r="Q307" s="1">
        <v>0</v>
      </c>
    </row>
    <row r="308" spans="1:17" x14ac:dyDescent="0.35">
      <c r="A308" s="1">
        <f>ROW()-ROW(DATABARANG!$A$3)</f>
        <v>305</v>
      </c>
      <c r="B308" t="s">
        <v>1735</v>
      </c>
      <c r="C308" t="s">
        <v>1736</v>
      </c>
      <c r="D308" t="s">
        <v>510</v>
      </c>
      <c r="E308" t="s">
        <v>30</v>
      </c>
      <c r="F308" t="s">
        <v>7</v>
      </c>
      <c r="G308" s="1">
        <v>2</v>
      </c>
      <c r="K308" s="1">
        <v>305</v>
      </c>
      <c r="L308" t="s">
        <v>1735</v>
      </c>
      <c r="M308" t="s">
        <v>1736</v>
      </c>
      <c r="N308" t="s">
        <v>510</v>
      </c>
      <c r="O308" t="s">
        <v>30</v>
      </c>
      <c r="P308" t="s">
        <v>7</v>
      </c>
      <c r="Q308" s="1">
        <v>2</v>
      </c>
    </row>
    <row r="309" spans="1:17" x14ac:dyDescent="0.35">
      <c r="A309" s="1">
        <f>ROW()-ROW(DATABARANG!$A$3)</f>
        <v>306</v>
      </c>
      <c r="B309" t="s">
        <v>1737</v>
      </c>
      <c r="C309" t="s">
        <v>1738</v>
      </c>
      <c r="D309" t="s">
        <v>510</v>
      </c>
      <c r="E309" t="s">
        <v>30</v>
      </c>
      <c r="F309" t="s">
        <v>7</v>
      </c>
      <c r="G309" s="1">
        <v>4</v>
      </c>
      <c r="K309" s="1">
        <v>306</v>
      </c>
      <c r="L309" t="s">
        <v>1737</v>
      </c>
      <c r="M309" t="s">
        <v>1738</v>
      </c>
      <c r="N309" t="s">
        <v>510</v>
      </c>
      <c r="O309" t="s">
        <v>30</v>
      </c>
      <c r="P309" t="s">
        <v>7</v>
      </c>
      <c r="Q309" s="1">
        <v>4</v>
      </c>
    </row>
    <row r="310" spans="1:17" x14ac:dyDescent="0.35">
      <c r="A310" s="1">
        <f>ROW()-ROW(DATABARANG!$A$3)</f>
        <v>307</v>
      </c>
      <c r="B310" t="s">
        <v>1741</v>
      </c>
      <c r="C310" t="s">
        <v>1742</v>
      </c>
      <c r="D310" t="s">
        <v>76</v>
      </c>
      <c r="E310" t="s">
        <v>30</v>
      </c>
      <c r="F310" t="s">
        <v>7</v>
      </c>
      <c r="G310" s="1">
        <v>2</v>
      </c>
      <c r="K310" s="1">
        <v>307</v>
      </c>
      <c r="L310" t="s">
        <v>1741</v>
      </c>
      <c r="M310" t="s">
        <v>1742</v>
      </c>
      <c r="N310" t="s">
        <v>76</v>
      </c>
      <c r="O310" t="s">
        <v>30</v>
      </c>
      <c r="P310" t="s">
        <v>7</v>
      </c>
      <c r="Q310" s="1">
        <v>2</v>
      </c>
    </row>
    <row r="311" spans="1:17" x14ac:dyDescent="0.35">
      <c r="A311" s="1">
        <f>ROW()-ROW(DATABARANG!$A$3)</f>
        <v>308</v>
      </c>
      <c r="B311" t="s">
        <v>1743</v>
      </c>
      <c r="C311" t="s">
        <v>1744</v>
      </c>
      <c r="D311" t="s">
        <v>76</v>
      </c>
      <c r="E311" t="s">
        <v>30</v>
      </c>
      <c r="F311" t="s">
        <v>7</v>
      </c>
      <c r="G311" s="1">
        <v>1</v>
      </c>
      <c r="K311" s="1">
        <v>308</v>
      </c>
      <c r="L311" t="s">
        <v>1743</v>
      </c>
      <c r="M311" t="s">
        <v>1744</v>
      </c>
      <c r="N311" t="s">
        <v>76</v>
      </c>
      <c r="O311" t="s">
        <v>30</v>
      </c>
      <c r="P311" t="s">
        <v>7</v>
      </c>
      <c r="Q311" s="1">
        <v>1</v>
      </c>
    </row>
    <row r="312" spans="1:17" x14ac:dyDescent="0.35">
      <c r="A312" s="1">
        <f>ROW()-ROW(DATABARANG!$A$3)</f>
        <v>309</v>
      </c>
      <c r="B312" t="s">
        <v>1745</v>
      </c>
      <c r="C312" t="s">
        <v>1746</v>
      </c>
      <c r="D312" t="s">
        <v>77</v>
      </c>
      <c r="E312" t="s">
        <v>30</v>
      </c>
      <c r="F312" t="s">
        <v>7</v>
      </c>
      <c r="G312" s="1">
        <v>2</v>
      </c>
      <c r="K312" s="1">
        <v>309</v>
      </c>
      <c r="L312" t="s">
        <v>1745</v>
      </c>
      <c r="M312" t="s">
        <v>1746</v>
      </c>
      <c r="N312" t="s">
        <v>77</v>
      </c>
      <c r="O312" t="s">
        <v>30</v>
      </c>
      <c r="P312" t="s">
        <v>7</v>
      </c>
      <c r="Q312" s="1">
        <v>2</v>
      </c>
    </row>
    <row r="313" spans="1:17" x14ac:dyDescent="0.35">
      <c r="A313" s="1">
        <f>ROW()-ROW(DATABARANG!$A$3)</f>
        <v>310</v>
      </c>
      <c r="B313" t="s">
        <v>1747</v>
      </c>
      <c r="C313" t="s">
        <v>1748</v>
      </c>
      <c r="D313" t="s">
        <v>121</v>
      </c>
      <c r="E313" t="s">
        <v>562</v>
      </c>
      <c r="F313" t="s">
        <v>7</v>
      </c>
      <c r="G313" s="1">
        <v>2</v>
      </c>
      <c r="K313" s="1">
        <v>310</v>
      </c>
      <c r="L313" t="s">
        <v>1747</v>
      </c>
      <c r="M313" t="s">
        <v>1748</v>
      </c>
      <c r="N313" t="s">
        <v>121</v>
      </c>
      <c r="O313" t="s">
        <v>562</v>
      </c>
      <c r="P313" t="s">
        <v>7</v>
      </c>
      <c r="Q313" s="1">
        <v>2</v>
      </c>
    </row>
    <row r="314" spans="1:17" x14ac:dyDescent="0.35">
      <c r="A314" s="1">
        <f>ROW()-ROW(DATABARANG!$A$3)</f>
        <v>311</v>
      </c>
      <c r="B314" t="s">
        <v>1749</v>
      </c>
      <c r="C314" t="s">
        <v>1750</v>
      </c>
      <c r="D314" t="s">
        <v>121</v>
      </c>
      <c r="E314" t="s">
        <v>562</v>
      </c>
      <c r="F314" t="s">
        <v>7</v>
      </c>
      <c r="G314" s="1">
        <v>2</v>
      </c>
      <c r="K314" s="1">
        <v>311</v>
      </c>
      <c r="L314" t="s">
        <v>1749</v>
      </c>
      <c r="M314" t="s">
        <v>1750</v>
      </c>
      <c r="N314" t="s">
        <v>121</v>
      </c>
      <c r="O314" t="s">
        <v>562</v>
      </c>
      <c r="P314" t="s">
        <v>7</v>
      </c>
      <c r="Q314" s="1">
        <v>2</v>
      </c>
    </row>
    <row r="315" spans="1:17" x14ac:dyDescent="0.35">
      <c r="A315" s="1">
        <f>ROW()-ROW(DATABARANG!$A$3)</f>
        <v>312</v>
      </c>
      <c r="B315" t="s">
        <v>1751</v>
      </c>
      <c r="C315" t="s">
        <v>1752</v>
      </c>
      <c r="D315" t="s">
        <v>94</v>
      </c>
      <c r="E315" t="s">
        <v>304</v>
      </c>
      <c r="F315" t="s">
        <v>7</v>
      </c>
      <c r="G315" s="1">
        <v>1</v>
      </c>
      <c r="K315" s="1">
        <v>312</v>
      </c>
      <c r="L315" t="s">
        <v>1751</v>
      </c>
      <c r="M315" t="s">
        <v>1752</v>
      </c>
      <c r="N315" t="s">
        <v>94</v>
      </c>
      <c r="O315" t="s">
        <v>304</v>
      </c>
      <c r="P315" t="s">
        <v>7</v>
      </c>
      <c r="Q315" s="1">
        <v>1</v>
      </c>
    </row>
    <row r="316" spans="1:17" x14ac:dyDescent="0.35">
      <c r="A316" s="1">
        <f>ROW()-ROW(DATABARANG!$A$3)</f>
        <v>313</v>
      </c>
      <c r="B316" t="s">
        <v>1753</v>
      </c>
      <c r="C316" t="s">
        <v>1754</v>
      </c>
      <c r="D316" t="s">
        <v>94</v>
      </c>
      <c r="E316" t="s">
        <v>304</v>
      </c>
      <c r="F316" t="s">
        <v>7</v>
      </c>
      <c r="G316" s="1">
        <v>47</v>
      </c>
      <c r="K316" s="1">
        <v>313</v>
      </c>
      <c r="L316" t="s">
        <v>1753</v>
      </c>
      <c r="M316" t="s">
        <v>1754</v>
      </c>
      <c r="N316" t="s">
        <v>94</v>
      </c>
      <c r="O316" t="s">
        <v>304</v>
      </c>
      <c r="P316" t="s">
        <v>7</v>
      </c>
      <c r="Q316" s="1">
        <v>47</v>
      </c>
    </row>
    <row r="317" spans="1:17" x14ac:dyDescent="0.35">
      <c r="A317" s="1">
        <f>ROW()-ROW(DATABARANG!$A$3)</f>
        <v>314</v>
      </c>
      <c r="B317" t="s">
        <v>1803</v>
      </c>
      <c r="C317" t="s">
        <v>1804</v>
      </c>
      <c r="D317" t="s">
        <v>142</v>
      </c>
      <c r="E317" t="s">
        <v>30</v>
      </c>
      <c r="F317" t="s">
        <v>7</v>
      </c>
      <c r="G317" s="1">
        <v>1</v>
      </c>
      <c r="K317" s="1">
        <v>314</v>
      </c>
      <c r="L317" t="s">
        <v>1803</v>
      </c>
      <c r="M317" t="s">
        <v>1804</v>
      </c>
      <c r="N317" t="s">
        <v>142</v>
      </c>
      <c r="O317" t="s">
        <v>30</v>
      </c>
      <c r="P317" t="s">
        <v>7</v>
      </c>
      <c r="Q317" s="1">
        <v>1</v>
      </c>
    </row>
    <row r="318" spans="1:17" x14ac:dyDescent="0.35">
      <c r="A318" s="1">
        <f>ROW()-ROW(DATABARANG!$A$3)</f>
        <v>315</v>
      </c>
      <c r="B318" t="s">
        <v>1805</v>
      </c>
      <c r="C318" t="s">
        <v>1806</v>
      </c>
      <c r="D318" t="s">
        <v>142</v>
      </c>
      <c r="E318" t="s">
        <v>562</v>
      </c>
      <c r="F318" t="s">
        <v>7</v>
      </c>
      <c r="G318" s="1">
        <v>1</v>
      </c>
      <c r="K318" s="1">
        <v>315</v>
      </c>
      <c r="L318" t="s">
        <v>1805</v>
      </c>
      <c r="M318" t="s">
        <v>1806</v>
      </c>
      <c r="N318" t="s">
        <v>142</v>
      </c>
      <c r="O318" t="s">
        <v>562</v>
      </c>
      <c r="P318" t="s">
        <v>7</v>
      </c>
      <c r="Q318" s="1">
        <v>1</v>
      </c>
    </row>
    <row r="319" spans="1:17" x14ac:dyDescent="0.35">
      <c r="A319" s="1">
        <f>ROW()-ROW(DATABARANG!$A$3)</f>
        <v>316</v>
      </c>
      <c r="B319" t="s">
        <v>1852</v>
      </c>
      <c r="C319" t="s">
        <v>1853</v>
      </c>
      <c r="D319" t="s">
        <v>76</v>
      </c>
      <c r="E319" t="s">
        <v>1854</v>
      </c>
      <c r="F319" t="s">
        <v>7</v>
      </c>
      <c r="G319" s="1">
        <v>2</v>
      </c>
      <c r="K319" s="1">
        <v>316</v>
      </c>
      <c r="L319" t="s">
        <v>1852</v>
      </c>
      <c r="M319" t="s">
        <v>1853</v>
      </c>
      <c r="N319" t="s">
        <v>76</v>
      </c>
      <c r="O319" t="s">
        <v>1854</v>
      </c>
      <c r="P319" t="s">
        <v>7</v>
      </c>
      <c r="Q319" s="1">
        <v>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FCFEE-BA33-49A1-975E-DF86CC3330E2}">
  <sheetPr codeName="Sheet3"/>
  <dimension ref="A1:K650"/>
  <sheetViews>
    <sheetView topLeftCell="A633" zoomScale="90" zoomScaleNormal="90" workbookViewId="0">
      <selection activeCell="I638" sqref="I638"/>
    </sheetView>
  </sheetViews>
  <sheetFormatPr defaultColWidth="9.1796875" defaultRowHeight="14.5" x14ac:dyDescent="0.35"/>
  <cols>
    <col min="1" max="1" width="6.7265625" style="1" customWidth="1"/>
    <col min="2" max="2" width="13.453125" style="1" customWidth="1"/>
    <col min="3" max="3" width="12.54296875" style="1" customWidth="1"/>
    <col min="4" max="4" width="13.7265625" style="1" customWidth="1"/>
    <col min="5" max="5" width="43.7265625" style="15" customWidth="1"/>
    <col min="6" max="6" width="11.54296875" style="1" customWidth="1"/>
    <col min="7" max="7" width="11.54296875" style="32" customWidth="1"/>
    <col min="8" max="8" width="12.26953125" style="1" customWidth="1"/>
    <col min="9" max="9" width="17.54296875" style="1" customWidth="1"/>
    <col min="10" max="16384" width="9.1796875" style="15"/>
  </cols>
  <sheetData>
    <row r="1" spans="1:11" x14ac:dyDescent="0.35">
      <c r="A1" s="23"/>
      <c r="B1" s="23"/>
      <c r="C1" s="23"/>
      <c r="D1" s="23"/>
      <c r="E1" s="23"/>
      <c r="F1" s="23"/>
      <c r="G1" s="23"/>
      <c r="H1" s="23"/>
      <c r="I1" s="23"/>
      <c r="K1" t="s">
        <v>11</v>
      </c>
    </row>
    <row r="2" spans="1:11" x14ac:dyDescent="0.35">
      <c r="A2" s="23"/>
      <c r="B2" s="23"/>
      <c r="C2" s="23"/>
      <c r="D2" s="23"/>
      <c r="E2" s="23"/>
      <c r="F2" s="23"/>
      <c r="G2" s="23"/>
      <c r="H2" s="23"/>
      <c r="I2" s="23"/>
      <c r="K2" s="2">
        <v>3</v>
      </c>
    </row>
    <row r="3" spans="1:11" ht="15" thickBot="1" x14ac:dyDescent="0.4">
      <c r="A3" s="5" t="s">
        <v>0</v>
      </c>
      <c r="B3" s="5" t="s">
        <v>8</v>
      </c>
      <c r="C3" s="5" t="s">
        <v>9</v>
      </c>
      <c r="D3" s="5" t="s">
        <v>1</v>
      </c>
      <c r="E3" s="5" t="s">
        <v>2</v>
      </c>
      <c r="F3" s="5" t="s">
        <v>4</v>
      </c>
      <c r="G3" s="5" t="s">
        <v>393</v>
      </c>
      <c r="H3" s="5" t="s">
        <v>6</v>
      </c>
      <c r="I3" s="5" t="s">
        <v>10</v>
      </c>
      <c r="K3" s="2">
        <v>649</v>
      </c>
    </row>
    <row r="4" spans="1:11" x14ac:dyDescent="0.35">
      <c r="A4" s="1">
        <f>ROW()-ROW(BARANGMASUK!$A$3)</f>
        <v>1</v>
      </c>
      <c r="B4" s="1" t="s">
        <v>262</v>
      </c>
      <c r="C4" s="24">
        <v>45325</v>
      </c>
      <c r="D4" s="1" t="s">
        <v>83</v>
      </c>
      <c r="E4" s="15" t="s">
        <v>84</v>
      </c>
      <c r="F4" s="1" t="s">
        <v>41</v>
      </c>
      <c r="H4" s="1" t="s">
        <v>7</v>
      </c>
      <c r="I4" s="1">
        <v>1</v>
      </c>
    </row>
    <row r="5" spans="1:11" x14ac:dyDescent="0.35">
      <c r="A5" s="1">
        <f>ROW()-ROW(BARANGMASUK!$A$3)</f>
        <v>2</v>
      </c>
      <c r="B5" s="1" t="s">
        <v>535</v>
      </c>
      <c r="C5" s="24">
        <v>45500</v>
      </c>
      <c r="D5" s="1" t="s">
        <v>533</v>
      </c>
      <c r="E5" s="15" t="s">
        <v>534</v>
      </c>
      <c r="F5" s="1" t="s">
        <v>106</v>
      </c>
      <c r="G5" s="32">
        <v>38000</v>
      </c>
      <c r="H5" s="1" t="s">
        <v>7</v>
      </c>
      <c r="I5" s="1">
        <v>1</v>
      </c>
    </row>
    <row r="6" spans="1:11" x14ac:dyDescent="0.35">
      <c r="A6" s="1">
        <f>ROW()-ROW(BARANGMASUK!$A$3)</f>
        <v>3</v>
      </c>
      <c r="B6" s="1" t="s">
        <v>730</v>
      </c>
      <c r="C6" s="24">
        <v>45577</v>
      </c>
      <c r="D6" s="1" t="s">
        <v>681</v>
      </c>
      <c r="E6" s="15" t="s">
        <v>682</v>
      </c>
      <c r="F6" s="1" t="s">
        <v>106</v>
      </c>
      <c r="G6" s="32">
        <v>47000</v>
      </c>
      <c r="H6" s="1" t="s">
        <v>7</v>
      </c>
      <c r="I6" s="1">
        <v>1</v>
      </c>
    </row>
    <row r="7" spans="1:11" x14ac:dyDescent="0.35">
      <c r="A7" s="1">
        <f>ROW()-ROW(BARANGMASUK!$A$3)</f>
        <v>4</v>
      </c>
      <c r="B7" s="1" t="s">
        <v>214</v>
      </c>
      <c r="C7" s="24">
        <v>45299</v>
      </c>
      <c r="D7" s="1" t="s">
        <v>292</v>
      </c>
      <c r="E7" s="15" t="s">
        <v>293</v>
      </c>
      <c r="F7" s="1" t="s">
        <v>41</v>
      </c>
      <c r="H7" s="1" t="s">
        <v>7</v>
      </c>
      <c r="I7" s="1">
        <v>2</v>
      </c>
    </row>
    <row r="8" spans="1:11" x14ac:dyDescent="0.35">
      <c r="A8" s="1">
        <f>ROW()-ROW(BARANGMASUK!$A$3)</f>
        <v>5</v>
      </c>
      <c r="B8" s="1" t="s">
        <v>385</v>
      </c>
      <c r="C8" s="24">
        <v>45415</v>
      </c>
      <c r="D8" s="1" t="s">
        <v>292</v>
      </c>
      <c r="E8" s="15" t="s">
        <v>293</v>
      </c>
      <c r="F8" s="1" t="s">
        <v>41</v>
      </c>
      <c r="H8" s="1" t="s">
        <v>7</v>
      </c>
      <c r="I8" s="1">
        <v>1</v>
      </c>
    </row>
    <row r="9" spans="1:11" x14ac:dyDescent="0.35">
      <c r="A9" s="1">
        <f>ROW()-ROW(BARANGMASUK!$A$3)</f>
        <v>6</v>
      </c>
      <c r="B9" s="1" t="s">
        <v>553</v>
      </c>
      <c r="C9" s="24">
        <v>45526</v>
      </c>
      <c r="D9" s="1" t="s">
        <v>292</v>
      </c>
      <c r="E9" s="15" t="s">
        <v>293</v>
      </c>
      <c r="F9" s="1" t="s">
        <v>41</v>
      </c>
      <c r="G9" s="32">
        <v>20500</v>
      </c>
      <c r="H9" s="1" t="s">
        <v>7</v>
      </c>
      <c r="I9" s="1">
        <v>1</v>
      </c>
    </row>
    <row r="10" spans="1:11" x14ac:dyDescent="0.35">
      <c r="A10" s="1">
        <f>ROW()-ROW(BARANGMASUK!$A$3)</f>
        <v>7</v>
      </c>
      <c r="B10" s="1" t="s">
        <v>767</v>
      </c>
      <c r="C10" s="24">
        <v>45645</v>
      </c>
      <c r="D10" s="1" t="s">
        <v>292</v>
      </c>
      <c r="E10" s="15" t="s">
        <v>293</v>
      </c>
      <c r="F10" s="1" t="s">
        <v>41</v>
      </c>
      <c r="G10" s="32">
        <v>50000</v>
      </c>
      <c r="H10" s="1" t="s">
        <v>7</v>
      </c>
      <c r="I10" s="1">
        <v>2</v>
      </c>
    </row>
    <row r="11" spans="1:11" x14ac:dyDescent="0.35">
      <c r="A11" s="1">
        <f>ROW()-ROW(BARANGMASUK!$A$3)</f>
        <v>8</v>
      </c>
      <c r="B11" s="1" t="s">
        <v>216</v>
      </c>
      <c r="C11" s="24">
        <v>45300</v>
      </c>
      <c r="D11" s="1" t="s">
        <v>38</v>
      </c>
      <c r="E11" s="15" t="s">
        <v>39</v>
      </c>
      <c r="F11" s="1" t="s">
        <v>41</v>
      </c>
      <c r="H11" s="1" t="s">
        <v>7</v>
      </c>
      <c r="I11" s="1">
        <v>1</v>
      </c>
    </row>
    <row r="12" spans="1:11" x14ac:dyDescent="0.35">
      <c r="A12" s="1">
        <f>ROW()-ROW(BARANGMASUK!$A$3)</f>
        <v>9</v>
      </c>
      <c r="B12" s="1" t="s">
        <v>554</v>
      </c>
      <c r="C12" s="24">
        <v>45526</v>
      </c>
      <c r="D12" s="1" t="s">
        <v>38</v>
      </c>
      <c r="E12" s="15" t="s">
        <v>39</v>
      </c>
      <c r="F12" s="1" t="s">
        <v>41</v>
      </c>
      <c r="G12" s="32">
        <v>21000</v>
      </c>
      <c r="H12" s="1" t="s">
        <v>7</v>
      </c>
      <c r="I12" s="1">
        <v>1</v>
      </c>
    </row>
    <row r="13" spans="1:11" x14ac:dyDescent="0.35">
      <c r="A13" s="1">
        <f>ROW()-ROW(BARANGMASUK!$A$3)</f>
        <v>10</v>
      </c>
      <c r="B13" s="1" t="s">
        <v>297</v>
      </c>
      <c r="C13" s="24">
        <v>45325</v>
      </c>
      <c r="D13" s="1" t="s">
        <v>148</v>
      </c>
      <c r="E13" s="15" t="s">
        <v>149</v>
      </c>
      <c r="F13" s="1" t="s">
        <v>41</v>
      </c>
      <c r="H13" s="1" t="s">
        <v>7</v>
      </c>
      <c r="I13" s="1">
        <v>1</v>
      </c>
    </row>
    <row r="14" spans="1:11" x14ac:dyDescent="0.35">
      <c r="A14" s="1">
        <f>ROW()-ROW(BARANGMASUK!$A$3)</f>
        <v>11</v>
      </c>
      <c r="B14" s="1" t="s">
        <v>737</v>
      </c>
      <c r="C14" s="24">
        <v>45577</v>
      </c>
      <c r="D14" s="1" t="s">
        <v>148</v>
      </c>
      <c r="E14" s="15" t="s">
        <v>149</v>
      </c>
      <c r="F14" s="1" t="s">
        <v>41</v>
      </c>
      <c r="G14" s="32">
        <v>21000</v>
      </c>
      <c r="H14" s="1" t="s">
        <v>7</v>
      </c>
      <c r="I14" s="1">
        <v>1</v>
      </c>
    </row>
    <row r="15" spans="1:11" x14ac:dyDescent="0.35">
      <c r="A15" s="1">
        <f>ROW()-ROW(BARANGMASUK!$A$3)</f>
        <v>12</v>
      </c>
      <c r="B15" s="1" t="s">
        <v>558</v>
      </c>
      <c r="C15" s="24">
        <v>45526</v>
      </c>
      <c r="D15" s="1" t="s">
        <v>556</v>
      </c>
      <c r="E15" s="15" t="s">
        <v>557</v>
      </c>
      <c r="F15" s="1" t="s">
        <v>106</v>
      </c>
      <c r="G15" s="32">
        <v>14500</v>
      </c>
      <c r="H15" s="1" t="s">
        <v>7</v>
      </c>
      <c r="I15" s="1">
        <v>1</v>
      </c>
    </row>
    <row r="16" spans="1:11" x14ac:dyDescent="0.35">
      <c r="A16" s="1">
        <f>ROW()-ROW(BARANGMASUK!$A$3)</f>
        <v>13</v>
      </c>
      <c r="B16" s="1" t="s">
        <v>721</v>
      </c>
      <c r="C16" s="24">
        <v>45577</v>
      </c>
      <c r="D16" s="1" t="s">
        <v>663</v>
      </c>
      <c r="E16" s="15" t="s">
        <v>664</v>
      </c>
      <c r="F16" s="1" t="s">
        <v>562</v>
      </c>
      <c r="G16" s="32">
        <v>20500</v>
      </c>
      <c r="H16" s="1" t="s">
        <v>7</v>
      </c>
      <c r="I16" s="1">
        <v>1</v>
      </c>
    </row>
    <row r="17" spans="1:9" x14ac:dyDescent="0.35">
      <c r="A17" s="1">
        <f>ROW()-ROW(BARANGMASUK!$A$3)</f>
        <v>14</v>
      </c>
      <c r="B17" s="1" t="s">
        <v>474</v>
      </c>
      <c r="C17" s="24">
        <v>45469</v>
      </c>
      <c r="D17" s="1" t="s">
        <v>421</v>
      </c>
      <c r="E17" s="15" t="s">
        <v>422</v>
      </c>
      <c r="F17" s="1" t="s">
        <v>106</v>
      </c>
      <c r="G17" s="32">
        <v>42000</v>
      </c>
      <c r="H17" s="1" t="s">
        <v>7</v>
      </c>
      <c r="I17" s="1">
        <v>1</v>
      </c>
    </row>
    <row r="18" spans="1:9" x14ac:dyDescent="0.35">
      <c r="A18" s="1">
        <f>ROW()-ROW(BARANGMASUK!$A$3)</f>
        <v>15</v>
      </c>
      <c r="B18" s="1" t="s">
        <v>298</v>
      </c>
      <c r="C18" s="24">
        <v>45325</v>
      </c>
      <c r="D18" s="1" t="s">
        <v>150</v>
      </c>
      <c r="E18" s="15" t="s">
        <v>207</v>
      </c>
      <c r="F18" s="1" t="s">
        <v>30</v>
      </c>
      <c r="H18" s="1" t="s">
        <v>7</v>
      </c>
      <c r="I18" s="1">
        <v>24</v>
      </c>
    </row>
    <row r="19" spans="1:9" x14ac:dyDescent="0.35">
      <c r="A19" s="1">
        <f>ROW()-ROW(BARANGMASUK!$A$3)</f>
        <v>16</v>
      </c>
      <c r="B19" s="1" t="s">
        <v>473</v>
      </c>
      <c r="C19" s="24">
        <v>45469</v>
      </c>
      <c r="D19" s="1" t="s">
        <v>150</v>
      </c>
      <c r="E19" s="15" t="s">
        <v>207</v>
      </c>
      <c r="F19" s="1" t="s">
        <v>30</v>
      </c>
      <c r="G19" s="32">
        <v>170000</v>
      </c>
      <c r="H19" s="1" t="s">
        <v>7</v>
      </c>
      <c r="I19" s="1">
        <v>4</v>
      </c>
    </row>
    <row r="20" spans="1:9" x14ac:dyDescent="0.35">
      <c r="A20" s="1">
        <f>ROW()-ROW(BARANGMASUK!$A$3)</f>
        <v>17</v>
      </c>
      <c r="B20" s="1" t="s">
        <v>246</v>
      </c>
      <c r="C20" s="24">
        <v>45325</v>
      </c>
      <c r="D20" s="1" t="s">
        <v>176</v>
      </c>
      <c r="E20" s="15" t="s">
        <v>177</v>
      </c>
      <c r="F20" s="1" t="s">
        <v>106</v>
      </c>
      <c r="H20" s="1" t="s">
        <v>7</v>
      </c>
      <c r="I20" s="1">
        <v>2</v>
      </c>
    </row>
    <row r="21" spans="1:9" x14ac:dyDescent="0.35">
      <c r="A21" s="1">
        <f>ROW()-ROW(BARANGMASUK!$A$3)</f>
        <v>18</v>
      </c>
      <c r="B21" s="1" t="s">
        <v>477</v>
      </c>
      <c r="C21" s="24">
        <v>45469</v>
      </c>
      <c r="D21" s="1" t="s">
        <v>427</v>
      </c>
      <c r="E21" s="15" t="s">
        <v>428</v>
      </c>
      <c r="F21" s="1" t="s">
        <v>30</v>
      </c>
      <c r="G21" s="32">
        <v>69000</v>
      </c>
      <c r="H21" s="1" t="s">
        <v>7</v>
      </c>
      <c r="I21" s="1">
        <v>2</v>
      </c>
    </row>
    <row r="22" spans="1:9" x14ac:dyDescent="0.35">
      <c r="A22" s="1">
        <f>ROW()-ROW(BARANGMASUK!$A$3)</f>
        <v>19</v>
      </c>
      <c r="B22" s="1" t="s">
        <v>478</v>
      </c>
      <c r="C22" s="24">
        <v>45469</v>
      </c>
      <c r="D22" s="1" t="s">
        <v>429</v>
      </c>
      <c r="E22" s="15" t="s">
        <v>430</v>
      </c>
      <c r="F22" s="1" t="s">
        <v>30</v>
      </c>
      <c r="G22" s="32">
        <v>69000</v>
      </c>
      <c r="H22" s="1" t="s">
        <v>7</v>
      </c>
      <c r="I22" s="1">
        <v>2</v>
      </c>
    </row>
    <row r="23" spans="1:9" x14ac:dyDescent="0.35">
      <c r="A23" s="1">
        <f>ROW()-ROW(BARANGMASUK!$A$3)</f>
        <v>20</v>
      </c>
      <c r="B23" s="1" t="s">
        <v>479</v>
      </c>
      <c r="C23" s="24">
        <v>45469</v>
      </c>
      <c r="D23" s="1" t="s">
        <v>431</v>
      </c>
      <c r="E23" s="15" t="s">
        <v>432</v>
      </c>
      <c r="F23" s="1" t="s">
        <v>30</v>
      </c>
      <c r="G23" s="32">
        <v>69000</v>
      </c>
      <c r="H23" s="1" t="s">
        <v>7</v>
      </c>
      <c r="I23" s="1">
        <v>2</v>
      </c>
    </row>
    <row r="24" spans="1:9" x14ac:dyDescent="0.35">
      <c r="A24" s="1">
        <f>ROW()-ROW(BARANGMASUK!$A$3)</f>
        <v>21</v>
      </c>
      <c r="B24" s="1" t="s">
        <v>405</v>
      </c>
      <c r="C24" s="24">
        <v>45452</v>
      </c>
      <c r="D24" s="1" t="s">
        <v>396</v>
      </c>
      <c r="E24" s="15" t="s">
        <v>397</v>
      </c>
      <c r="F24" s="1" t="s">
        <v>47</v>
      </c>
      <c r="G24" s="32">
        <v>120000</v>
      </c>
      <c r="H24" s="1" t="s">
        <v>7</v>
      </c>
      <c r="I24" s="1">
        <v>6</v>
      </c>
    </row>
    <row r="25" spans="1:9" x14ac:dyDescent="0.35">
      <c r="A25" s="1">
        <f>ROW()-ROW(BARANGMASUK!$A$3)</f>
        <v>22</v>
      </c>
      <c r="B25" s="1" t="s">
        <v>518</v>
      </c>
      <c r="C25" s="24">
        <v>45353</v>
      </c>
      <c r="D25" s="1" t="s">
        <v>516</v>
      </c>
      <c r="E25" s="15" t="s">
        <v>517</v>
      </c>
      <c r="F25" s="1" t="s">
        <v>30</v>
      </c>
      <c r="G25" s="32">
        <v>42000</v>
      </c>
      <c r="H25" s="1" t="s">
        <v>7</v>
      </c>
      <c r="I25" s="1">
        <v>1</v>
      </c>
    </row>
    <row r="26" spans="1:9" x14ac:dyDescent="0.35">
      <c r="A26" s="1">
        <f>ROW()-ROW(BARANGMASUK!$A$3)</f>
        <v>23</v>
      </c>
      <c r="B26" s="1" t="s">
        <v>487</v>
      </c>
      <c r="C26" s="24">
        <v>45469</v>
      </c>
      <c r="D26" s="1" t="s">
        <v>448</v>
      </c>
      <c r="E26" s="15" t="s">
        <v>449</v>
      </c>
      <c r="F26" s="1" t="s">
        <v>41</v>
      </c>
      <c r="G26" s="32">
        <v>56000</v>
      </c>
      <c r="H26" s="1" t="s">
        <v>7</v>
      </c>
      <c r="I26" s="1">
        <v>2</v>
      </c>
    </row>
    <row r="27" spans="1:9" x14ac:dyDescent="0.35">
      <c r="A27" s="1">
        <f>ROW()-ROW(BARANGMASUK!$A$3)</f>
        <v>24</v>
      </c>
      <c r="B27" s="1" t="s">
        <v>279</v>
      </c>
      <c r="C27" s="24">
        <v>45325</v>
      </c>
      <c r="D27" s="1" t="s">
        <v>134</v>
      </c>
      <c r="E27" s="15" t="s">
        <v>135</v>
      </c>
      <c r="F27" s="1" t="s">
        <v>30</v>
      </c>
      <c r="H27" s="1" t="s">
        <v>7</v>
      </c>
      <c r="I27" s="1">
        <v>24</v>
      </c>
    </row>
    <row r="28" spans="1:9" x14ac:dyDescent="0.35">
      <c r="A28" s="1">
        <f>ROW()-ROW(BARANGMASUK!$A$3)</f>
        <v>25</v>
      </c>
      <c r="B28" s="1" t="s">
        <v>204</v>
      </c>
      <c r="C28" s="24">
        <v>45325</v>
      </c>
      <c r="D28" s="1" t="s">
        <v>136</v>
      </c>
      <c r="E28" s="15" t="s">
        <v>137</v>
      </c>
      <c r="F28" s="1" t="s">
        <v>30</v>
      </c>
      <c r="H28" s="1" t="s">
        <v>7</v>
      </c>
      <c r="I28" s="1">
        <v>12</v>
      </c>
    </row>
    <row r="29" spans="1:9" x14ac:dyDescent="0.35">
      <c r="A29" s="1">
        <f>ROW()-ROW(BARANGMASUK!$A$3)</f>
        <v>26</v>
      </c>
      <c r="B29" s="1" t="s">
        <v>269</v>
      </c>
      <c r="C29" s="24">
        <v>45325</v>
      </c>
      <c r="D29" s="1" t="s">
        <v>110</v>
      </c>
      <c r="E29" s="15" t="s">
        <v>111</v>
      </c>
      <c r="F29" s="1" t="s">
        <v>106</v>
      </c>
      <c r="H29" s="1" t="s">
        <v>7</v>
      </c>
      <c r="I29" s="1">
        <v>1</v>
      </c>
    </row>
    <row r="30" spans="1:9" x14ac:dyDescent="0.35">
      <c r="A30" s="1">
        <f>ROW()-ROW(BARANGMASUK!$A$3)</f>
        <v>27</v>
      </c>
      <c r="B30" s="1" t="s">
        <v>278</v>
      </c>
      <c r="C30" s="24">
        <v>45325</v>
      </c>
      <c r="D30" s="1" t="s">
        <v>132</v>
      </c>
      <c r="E30" s="15" t="s">
        <v>133</v>
      </c>
      <c r="F30" s="1" t="s">
        <v>30</v>
      </c>
      <c r="H30" s="1" t="s">
        <v>7</v>
      </c>
      <c r="I30" s="1">
        <v>12</v>
      </c>
    </row>
    <row r="31" spans="1:9" x14ac:dyDescent="0.35">
      <c r="A31" s="1">
        <f>ROW()-ROW(BARANGMASUK!$A$3)</f>
        <v>28</v>
      </c>
      <c r="B31" s="1" t="s">
        <v>749</v>
      </c>
      <c r="C31" s="24">
        <v>45577</v>
      </c>
      <c r="D31" s="1" t="s">
        <v>743</v>
      </c>
      <c r="E31" s="15" t="s">
        <v>744</v>
      </c>
      <c r="F31" s="1" t="s">
        <v>304</v>
      </c>
      <c r="G31" s="32">
        <v>11000</v>
      </c>
      <c r="H31" s="1" t="s">
        <v>7</v>
      </c>
      <c r="I31" s="1">
        <v>1</v>
      </c>
    </row>
    <row r="32" spans="1:9" x14ac:dyDescent="0.35">
      <c r="A32" s="1">
        <f>ROW()-ROW(BARANGMASUK!$A$3)</f>
        <v>29</v>
      </c>
      <c r="B32" s="1" t="s">
        <v>724</v>
      </c>
      <c r="C32" s="24">
        <v>45577</v>
      </c>
      <c r="D32" s="1" t="s">
        <v>669</v>
      </c>
      <c r="E32" s="15" t="s">
        <v>670</v>
      </c>
      <c r="F32" s="1" t="s">
        <v>41</v>
      </c>
      <c r="G32" s="32">
        <v>23000</v>
      </c>
      <c r="H32" s="1" t="s">
        <v>7</v>
      </c>
      <c r="I32" s="1">
        <v>1</v>
      </c>
    </row>
    <row r="33" spans="1:9" x14ac:dyDescent="0.35">
      <c r="A33" s="1">
        <f>ROW()-ROW(BARANGMASUK!$A$3)</f>
        <v>30</v>
      </c>
      <c r="B33" s="1" t="s">
        <v>748</v>
      </c>
      <c r="C33" s="24">
        <v>45577</v>
      </c>
      <c r="D33" s="1" t="s">
        <v>741</v>
      </c>
      <c r="E33" s="15" t="s">
        <v>742</v>
      </c>
      <c r="F33" s="1" t="s">
        <v>106</v>
      </c>
      <c r="G33" s="32">
        <v>31500</v>
      </c>
      <c r="H33" s="1" t="s">
        <v>7</v>
      </c>
      <c r="I33" s="1">
        <v>1</v>
      </c>
    </row>
    <row r="34" spans="1:9" x14ac:dyDescent="0.35">
      <c r="A34" s="1">
        <f>ROW()-ROW(BARANGMASUK!$A$3)</f>
        <v>31</v>
      </c>
      <c r="B34" s="1" t="s">
        <v>747</v>
      </c>
      <c r="C34" s="24">
        <v>45577</v>
      </c>
      <c r="D34" s="1" t="s">
        <v>739</v>
      </c>
      <c r="E34" s="15" t="s">
        <v>740</v>
      </c>
      <c r="F34" s="1" t="s">
        <v>106</v>
      </c>
      <c r="G34" s="32">
        <v>49500</v>
      </c>
      <c r="H34" s="1" t="s">
        <v>7</v>
      </c>
      <c r="I34" s="1">
        <v>1</v>
      </c>
    </row>
    <row r="35" spans="1:9" x14ac:dyDescent="0.35">
      <c r="A35" s="1">
        <f>ROW()-ROW(BARANGMASUK!$A$3)</f>
        <v>32</v>
      </c>
      <c r="B35" s="1" t="s">
        <v>750</v>
      </c>
      <c r="C35" s="24">
        <v>45577</v>
      </c>
      <c r="D35" s="1" t="s">
        <v>745</v>
      </c>
      <c r="E35" s="15" t="s">
        <v>746</v>
      </c>
      <c r="F35" s="1" t="s">
        <v>304</v>
      </c>
      <c r="G35" s="32">
        <v>13000</v>
      </c>
      <c r="H35" s="1" t="s">
        <v>7</v>
      </c>
      <c r="I35" s="1">
        <v>1</v>
      </c>
    </row>
    <row r="36" spans="1:9" x14ac:dyDescent="0.35">
      <c r="A36" s="1">
        <f>ROW()-ROW(BARANGMASUK!$A$3)</f>
        <v>33</v>
      </c>
      <c r="B36" s="1" t="s">
        <v>211</v>
      </c>
      <c r="C36" s="24">
        <v>45299</v>
      </c>
      <c r="D36" s="1" t="s">
        <v>128</v>
      </c>
      <c r="E36" s="15" t="s">
        <v>129</v>
      </c>
      <c r="F36" s="1" t="s">
        <v>30</v>
      </c>
      <c r="H36" s="1" t="s">
        <v>7</v>
      </c>
      <c r="I36" s="1">
        <v>12</v>
      </c>
    </row>
    <row r="37" spans="1:9" x14ac:dyDescent="0.35">
      <c r="A37" s="1">
        <f>ROW()-ROW(BARANGMASUK!$A$3)</f>
        <v>34</v>
      </c>
      <c r="B37" s="1" t="s">
        <v>276</v>
      </c>
      <c r="C37" s="24">
        <v>45325</v>
      </c>
      <c r="D37" s="1" t="s">
        <v>128</v>
      </c>
      <c r="E37" s="15" t="s">
        <v>129</v>
      </c>
      <c r="F37" s="1" t="s">
        <v>30</v>
      </c>
      <c r="H37" s="1" t="s">
        <v>7</v>
      </c>
      <c r="I37" s="1">
        <v>12</v>
      </c>
    </row>
    <row r="38" spans="1:9" x14ac:dyDescent="0.35">
      <c r="A38" s="1">
        <f>ROW()-ROW(BARANGMASUK!$A$3)</f>
        <v>35</v>
      </c>
      <c r="B38" s="1" t="s">
        <v>757</v>
      </c>
      <c r="C38" s="24">
        <v>45583</v>
      </c>
      <c r="D38" s="1" t="s">
        <v>128</v>
      </c>
      <c r="E38" s="15" t="s">
        <v>129</v>
      </c>
      <c r="F38" s="1" t="s">
        <v>30</v>
      </c>
      <c r="G38" s="32">
        <v>36000</v>
      </c>
      <c r="H38" s="1" t="s">
        <v>7</v>
      </c>
      <c r="I38" s="1">
        <v>2</v>
      </c>
    </row>
    <row r="39" spans="1:9" x14ac:dyDescent="0.35">
      <c r="A39" s="1">
        <f>ROW()-ROW(BARANGMASUK!$A$3)</f>
        <v>36</v>
      </c>
      <c r="B39" s="1" t="s">
        <v>215</v>
      </c>
      <c r="C39" s="24">
        <v>45299</v>
      </c>
      <c r="D39" s="1" t="s">
        <v>294</v>
      </c>
      <c r="E39" s="15" t="s">
        <v>295</v>
      </c>
      <c r="F39" s="1" t="s">
        <v>41</v>
      </c>
      <c r="H39" s="1" t="s">
        <v>7</v>
      </c>
      <c r="I39" s="1">
        <v>36</v>
      </c>
    </row>
    <row r="40" spans="1:9" x14ac:dyDescent="0.35">
      <c r="A40" s="1">
        <f>ROW()-ROW(BARANGMASUK!$A$3)</f>
        <v>37</v>
      </c>
      <c r="B40" s="1" t="s">
        <v>406</v>
      </c>
      <c r="C40" s="24">
        <v>45452</v>
      </c>
      <c r="D40" s="1" t="s">
        <v>402</v>
      </c>
      <c r="E40" s="15" t="s">
        <v>403</v>
      </c>
      <c r="F40" s="1" t="s">
        <v>41</v>
      </c>
      <c r="G40" s="32">
        <v>340000</v>
      </c>
      <c r="H40" s="1" t="s">
        <v>7</v>
      </c>
      <c r="I40" s="1">
        <v>4</v>
      </c>
    </row>
    <row r="41" spans="1:9" x14ac:dyDescent="0.35">
      <c r="A41" s="1">
        <f>ROW()-ROW(BARANGMASUK!$A$3)</f>
        <v>38</v>
      </c>
      <c r="B41" s="1" t="s">
        <v>499</v>
      </c>
      <c r="C41" s="24">
        <v>45469</v>
      </c>
      <c r="D41" s="1" t="s">
        <v>402</v>
      </c>
      <c r="E41" s="15" t="s">
        <v>403</v>
      </c>
      <c r="F41" s="1" t="s">
        <v>41</v>
      </c>
      <c r="G41" s="32">
        <v>340000</v>
      </c>
      <c r="H41" s="1" t="s">
        <v>7</v>
      </c>
      <c r="I41" s="1">
        <v>4</v>
      </c>
    </row>
    <row r="42" spans="1:9" x14ac:dyDescent="0.35">
      <c r="A42" s="1">
        <f>ROW()-ROW(BARANGMASUK!$A$3)</f>
        <v>39</v>
      </c>
      <c r="B42" s="1" t="s">
        <v>768</v>
      </c>
      <c r="C42" s="24">
        <v>45645</v>
      </c>
      <c r="D42" s="1" t="s">
        <v>402</v>
      </c>
      <c r="E42" s="15" t="s">
        <v>403</v>
      </c>
      <c r="F42" s="1" t="s">
        <v>41</v>
      </c>
      <c r="G42" s="32">
        <v>348000</v>
      </c>
      <c r="H42" s="1" t="s">
        <v>7</v>
      </c>
      <c r="I42" s="1">
        <v>4</v>
      </c>
    </row>
    <row r="43" spans="1:9" x14ac:dyDescent="0.35">
      <c r="A43" s="1">
        <f>ROW()-ROW(BARANGMASUK!$A$3)</f>
        <v>40</v>
      </c>
      <c r="B43" s="1" t="s">
        <v>476</v>
      </c>
      <c r="C43" s="24">
        <v>45469</v>
      </c>
      <c r="D43" s="1" t="s">
        <v>425</v>
      </c>
      <c r="E43" s="15" t="s">
        <v>426</v>
      </c>
      <c r="F43" s="1" t="s">
        <v>304</v>
      </c>
      <c r="G43" s="32">
        <v>44000</v>
      </c>
      <c r="H43" s="1" t="s">
        <v>7</v>
      </c>
      <c r="I43" s="1">
        <v>2</v>
      </c>
    </row>
    <row r="44" spans="1:9" x14ac:dyDescent="0.35">
      <c r="A44" s="1">
        <f>ROW()-ROW(BARANGMASUK!$A$3)</f>
        <v>41</v>
      </c>
      <c r="B44" s="1" t="s">
        <v>475</v>
      </c>
      <c r="C44" s="24">
        <v>45469</v>
      </c>
      <c r="D44" s="1" t="s">
        <v>423</v>
      </c>
      <c r="E44" s="15" t="s">
        <v>424</v>
      </c>
      <c r="F44" s="1" t="s">
        <v>304</v>
      </c>
      <c r="G44" s="32">
        <v>47000</v>
      </c>
      <c r="H44" s="1" t="s">
        <v>7</v>
      </c>
      <c r="I44" s="1">
        <v>2</v>
      </c>
    </row>
    <row r="45" spans="1:9" x14ac:dyDescent="0.35">
      <c r="A45" s="1">
        <f>ROW()-ROW(BARANGMASUK!$A$3)</f>
        <v>42</v>
      </c>
      <c r="B45" s="1" t="s">
        <v>261</v>
      </c>
      <c r="C45" s="24">
        <v>45325</v>
      </c>
      <c r="D45" s="1" t="s">
        <v>81</v>
      </c>
      <c r="E45" s="15" t="s">
        <v>82</v>
      </c>
      <c r="F45" s="1" t="s">
        <v>30</v>
      </c>
      <c r="H45" s="1" t="s">
        <v>7</v>
      </c>
      <c r="I45" s="1">
        <v>22</v>
      </c>
    </row>
    <row r="46" spans="1:9" x14ac:dyDescent="0.35">
      <c r="A46" s="1">
        <f>ROW()-ROW(BARANGMASUK!$A$3)</f>
        <v>43</v>
      </c>
      <c r="B46" s="1" t="s">
        <v>260</v>
      </c>
      <c r="C46" s="24">
        <v>45325</v>
      </c>
      <c r="D46" s="1" t="s">
        <v>78</v>
      </c>
      <c r="E46" s="15" t="s">
        <v>79</v>
      </c>
      <c r="F46" s="1" t="s">
        <v>30</v>
      </c>
      <c r="H46" s="1" t="s">
        <v>7</v>
      </c>
      <c r="I46" s="1">
        <v>23</v>
      </c>
    </row>
    <row r="47" spans="1:9" x14ac:dyDescent="0.35">
      <c r="A47" s="1">
        <f>ROW()-ROW(BARANGMASUK!$A$3)</f>
        <v>44</v>
      </c>
      <c r="B47" s="1" t="s">
        <v>693</v>
      </c>
      <c r="C47" s="24">
        <v>45577</v>
      </c>
      <c r="D47" s="1" t="s">
        <v>612</v>
      </c>
      <c r="E47" s="15" t="s">
        <v>613</v>
      </c>
      <c r="F47" s="1" t="s">
        <v>30</v>
      </c>
      <c r="G47" s="32">
        <v>69000</v>
      </c>
      <c r="H47" s="1" t="s">
        <v>7</v>
      </c>
      <c r="I47" s="1">
        <v>2</v>
      </c>
    </row>
    <row r="48" spans="1:9" x14ac:dyDescent="0.35">
      <c r="A48" s="1">
        <f>ROW()-ROW(BARANGMASUK!$A$3)</f>
        <v>45</v>
      </c>
      <c r="B48" s="1" t="s">
        <v>694</v>
      </c>
      <c r="C48" s="24">
        <v>45577</v>
      </c>
      <c r="D48" s="1" t="s">
        <v>614</v>
      </c>
      <c r="E48" s="15" t="s">
        <v>615</v>
      </c>
      <c r="F48" s="1" t="s">
        <v>30</v>
      </c>
      <c r="G48" s="32">
        <v>69000</v>
      </c>
      <c r="H48" s="1" t="s">
        <v>7</v>
      </c>
      <c r="I48" s="1">
        <v>2</v>
      </c>
    </row>
    <row r="49" spans="1:9" x14ac:dyDescent="0.35">
      <c r="A49" s="1">
        <f>ROW()-ROW(BARANGMASUK!$A$3)</f>
        <v>46</v>
      </c>
      <c r="B49" s="1" t="s">
        <v>692</v>
      </c>
      <c r="C49" s="24">
        <v>45577</v>
      </c>
      <c r="D49" s="1" t="s">
        <v>610</v>
      </c>
      <c r="E49" s="15" t="s">
        <v>611</v>
      </c>
      <c r="F49" s="1" t="s">
        <v>30</v>
      </c>
      <c r="G49" s="32">
        <v>69000</v>
      </c>
      <c r="H49" s="1" t="s">
        <v>7</v>
      </c>
      <c r="I49" s="1">
        <v>2</v>
      </c>
    </row>
    <row r="50" spans="1:9" x14ac:dyDescent="0.35">
      <c r="A50" s="1">
        <f>ROW()-ROW(BARANGMASUK!$A$3)</f>
        <v>47</v>
      </c>
      <c r="B50" s="1" t="s">
        <v>691</v>
      </c>
      <c r="C50" s="24">
        <v>45577</v>
      </c>
      <c r="D50" s="1" t="s">
        <v>608</v>
      </c>
      <c r="E50" s="15" t="s">
        <v>609</v>
      </c>
      <c r="F50" s="1" t="s">
        <v>30</v>
      </c>
      <c r="G50" s="32">
        <v>69000</v>
      </c>
      <c r="H50" s="1" t="s">
        <v>7</v>
      </c>
      <c r="I50" s="1">
        <v>2</v>
      </c>
    </row>
    <row r="51" spans="1:9" x14ac:dyDescent="0.35">
      <c r="A51" s="1">
        <f>ROW()-ROW(BARANGMASUK!$A$3)</f>
        <v>48</v>
      </c>
      <c r="B51" s="1" t="s">
        <v>695</v>
      </c>
      <c r="C51" s="24">
        <v>45577</v>
      </c>
      <c r="D51" s="1" t="s">
        <v>616</v>
      </c>
      <c r="E51" s="15" t="s">
        <v>617</v>
      </c>
      <c r="F51" s="1" t="s">
        <v>30</v>
      </c>
      <c r="G51" s="32">
        <v>69000</v>
      </c>
      <c r="H51" s="1" t="s">
        <v>7</v>
      </c>
      <c r="I51" s="1">
        <v>2</v>
      </c>
    </row>
    <row r="52" spans="1:9" x14ac:dyDescent="0.35">
      <c r="A52" s="1">
        <f>ROW()-ROW(BARANGMASUK!$A$3)</f>
        <v>49</v>
      </c>
      <c r="B52" s="1" t="s">
        <v>235</v>
      </c>
      <c r="C52" s="24">
        <v>45325</v>
      </c>
      <c r="D52" s="1" t="s">
        <v>99</v>
      </c>
      <c r="E52" s="15" t="s">
        <v>100</v>
      </c>
      <c r="F52" s="1" t="s">
        <v>30</v>
      </c>
      <c r="H52" s="1" t="s">
        <v>7</v>
      </c>
      <c r="I52" s="1">
        <v>2</v>
      </c>
    </row>
    <row r="53" spans="1:9" x14ac:dyDescent="0.35">
      <c r="A53" s="1">
        <f>ROW()-ROW(BARANGMASUK!$A$3)</f>
        <v>50</v>
      </c>
      <c r="B53" s="1" t="s">
        <v>321</v>
      </c>
      <c r="C53" s="24">
        <v>45353</v>
      </c>
      <c r="D53" s="1" t="s">
        <v>99</v>
      </c>
      <c r="E53" s="15" t="s">
        <v>100</v>
      </c>
      <c r="F53" s="1" t="s">
        <v>30</v>
      </c>
      <c r="H53" s="1" t="s">
        <v>7</v>
      </c>
      <c r="I53" s="1">
        <v>1</v>
      </c>
    </row>
    <row r="54" spans="1:9" x14ac:dyDescent="0.35">
      <c r="A54" s="1">
        <f>ROW()-ROW(BARANGMASUK!$A$3)</f>
        <v>51</v>
      </c>
      <c r="B54" s="1" t="s">
        <v>543</v>
      </c>
      <c r="C54" s="24">
        <v>45513</v>
      </c>
      <c r="D54" s="1" t="s">
        <v>99</v>
      </c>
      <c r="E54" s="15" t="s">
        <v>100</v>
      </c>
      <c r="F54" s="1" t="s">
        <v>30</v>
      </c>
      <c r="G54" s="32">
        <v>216000</v>
      </c>
      <c r="H54" s="1" t="s">
        <v>7</v>
      </c>
      <c r="I54" s="1">
        <v>6</v>
      </c>
    </row>
    <row r="55" spans="1:9" x14ac:dyDescent="0.35">
      <c r="A55" s="1">
        <f>ROW()-ROW(BARANGMASUK!$A$3)</f>
        <v>52</v>
      </c>
      <c r="B55" s="1" t="s">
        <v>753</v>
      </c>
      <c r="C55" s="24">
        <v>45583</v>
      </c>
      <c r="D55" s="1" t="s">
        <v>99</v>
      </c>
      <c r="E55" s="15" t="s">
        <v>100</v>
      </c>
      <c r="F55" s="1" t="s">
        <v>30</v>
      </c>
      <c r="G55" s="32">
        <v>180000</v>
      </c>
      <c r="H55" s="1" t="s">
        <v>7</v>
      </c>
      <c r="I55" s="1">
        <v>5</v>
      </c>
    </row>
    <row r="56" spans="1:9" x14ac:dyDescent="0.35">
      <c r="A56" s="1">
        <f>ROW()-ROW(BARANGMASUK!$A$3)</f>
        <v>53</v>
      </c>
      <c r="B56" s="1" t="s">
        <v>757</v>
      </c>
      <c r="C56" s="24">
        <v>45645</v>
      </c>
      <c r="D56" s="1" t="s">
        <v>99</v>
      </c>
      <c r="E56" s="15" t="s">
        <v>100</v>
      </c>
      <c r="F56" s="1" t="s">
        <v>30</v>
      </c>
      <c r="G56" s="32">
        <v>396000</v>
      </c>
      <c r="H56" s="1" t="s">
        <v>7</v>
      </c>
      <c r="I56" s="1">
        <v>11</v>
      </c>
    </row>
    <row r="57" spans="1:9" x14ac:dyDescent="0.35">
      <c r="A57" s="1">
        <f>ROW()-ROW(BARANGMASUK!$A$3)</f>
        <v>54</v>
      </c>
      <c r="B57" s="1" t="s">
        <v>234</v>
      </c>
      <c r="C57" s="24">
        <v>45325</v>
      </c>
      <c r="D57" s="1" t="s">
        <v>97</v>
      </c>
      <c r="E57" s="15" t="s">
        <v>98</v>
      </c>
      <c r="F57" s="1" t="s">
        <v>30</v>
      </c>
      <c r="H57" s="1" t="s">
        <v>7</v>
      </c>
      <c r="I57" s="1">
        <v>2</v>
      </c>
    </row>
    <row r="58" spans="1:9" x14ac:dyDescent="0.35">
      <c r="A58" s="1">
        <f>ROW()-ROW(BARANGMASUK!$A$3)</f>
        <v>55</v>
      </c>
      <c r="B58" s="1" t="s">
        <v>383</v>
      </c>
      <c r="C58" s="24">
        <v>45404</v>
      </c>
      <c r="D58" s="1" t="s">
        <v>377</v>
      </c>
      <c r="E58" s="15" t="s">
        <v>378</v>
      </c>
      <c r="F58" s="1" t="s">
        <v>30</v>
      </c>
      <c r="H58" s="1" t="s">
        <v>7</v>
      </c>
      <c r="I58" s="1">
        <v>1</v>
      </c>
    </row>
    <row r="59" spans="1:9" x14ac:dyDescent="0.35">
      <c r="A59" s="1">
        <f>ROW()-ROW(BARANGMASUK!$A$3)</f>
        <v>56</v>
      </c>
      <c r="B59" s="1" t="s">
        <v>356</v>
      </c>
      <c r="C59" s="24">
        <v>45404</v>
      </c>
      <c r="D59" s="1" t="s">
        <v>337</v>
      </c>
      <c r="E59" s="15" t="s">
        <v>338</v>
      </c>
      <c r="F59" s="1" t="s">
        <v>30</v>
      </c>
      <c r="H59" s="1" t="s">
        <v>7</v>
      </c>
      <c r="I59" s="1">
        <v>2</v>
      </c>
    </row>
    <row r="60" spans="1:9" x14ac:dyDescent="0.35">
      <c r="A60" s="1">
        <f>ROW()-ROW(BARANGMASUK!$A$3)</f>
        <v>57</v>
      </c>
      <c r="B60" s="1" t="s">
        <v>513</v>
      </c>
      <c r="C60" s="24">
        <v>45404</v>
      </c>
      <c r="D60" s="1" t="s">
        <v>511</v>
      </c>
      <c r="E60" s="15" t="s">
        <v>512</v>
      </c>
      <c r="F60" s="1" t="s">
        <v>30</v>
      </c>
      <c r="G60" s="32">
        <v>33000</v>
      </c>
      <c r="H60" s="1" t="s">
        <v>7</v>
      </c>
      <c r="I60" s="1">
        <v>1</v>
      </c>
    </row>
    <row r="61" spans="1:9" x14ac:dyDescent="0.35">
      <c r="A61" s="1">
        <f>ROW()-ROW(BARANGMASUK!$A$3)</f>
        <v>58</v>
      </c>
      <c r="B61" s="1" t="s">
        <v>702</v>
      </c>
      <c r="C61" s="24">
        <v>45577</v>
      </c>
      <c r="D61" s="1" t="s">
        <v>628</v>
      </c>
      <c r="E61" s="15" t="s">
        <v>629</v>
      </c>
      <c r="F61" s="1" t="s">
        <v>30</v>
      </c>
      <c r="G61" s="32">
        <v>12500</v>
      </c>
      <c r="H61" s="1" t="s">
        <v>7</v>
      </c>
      <c r="I61" s="1">
        <v>1</v>
      </c>
    </row>
    <row r="62" spans="1:9" x14ac:dyDescent="0.35">
      <c r="A62" s="1">
        <f>ROW()-ROW(BARANGMASUK!$A$3)</f>
        <v>59</v>
      </c>
      <c r="B62" s="1" t="s">
        <v>303</v>
      </c>
      <c r="C62" s="24">
        <v>45325</v>
      </c>
      <c r="D62" s="1" t="s">
        <v>145</v>
      </c>
      <c r="E62" s="15" t="s">
        <v>146</v>
      </c>
      <c r="F62" s="1" t="s">
        <v>30</v>
      </c>
      <c r="H62" s="1" t="s">
        <v>7</v>
      </c>
      <c r="I62" s="1">
        <v>2</v>
      </c>
    </row>
    <row r="63" spans="1:9" x14ac:dyDescent="0.35">
      <c r="A63" s="1">
        <f>ROW()-ROW(BARANGMASUK!$A$3)</f>
        <v>60</v>
      </c>
      <c r="B63" s="1" t="s">
        <v>700</v>
      </c>
      <c r="C63" s="24">
        <v>45577</v>
      </c>
      <c r="D63" s="1" t="s">
        <v>626</v>
      </c>
      <c r="E63" s="15" t="s">
        <v>627</v>
      </c>
      <c r="F63" s="1" t="s">
        <v>30</v>
      </c>
      <c r="G63" s="32">
        <v>40000</v>
      </c>
      <c r="H63" s="1" t="s">
        <v>7</v>
      </c>
      <c r="I63" s="1">
        <v>4</v>
      </c>
    </row>
    <row r="64" spans="1:9" x14ac:dyDescent="0.35">
      <c r="A64" s="1">
        <f>ROW()-ROW(BARANGMASUK!$A$3)</f>
        <v>61</v>
      </c>
      <c r="B64" s="1" t="s">
        <v>363</v>
      </c>
      <c r="C64" s="24">
        <v>45404</v>
      </c>
      <c r="D64" s="1" t="s">
        <v>351</v>
      </c>
      <c r="E64" s="15" t="s">
        <v>352</v>
      </c>
      <c r="F64" s="1" t="s">
        <v>30</v>
      </c>
      <c r="H64" s="1" t="s">
        <v>7</v>
      </c>
      <c r="I64" s="1">
        <v>1</v>
      </c>
    </row>
    <row r="65" spans="1:9" x14ac:dyDescent="0.35">
      <c r="A65" s="1">
        <f>ROW()-ROW(BARANGMASUK!$A$3)</f>
        <v>62</v>
      </c>
      <c r="B65" s="1" t="s">
        <v>714</v>
      </c>
      <c r="C65" s="24">
        <v>45577</v>
      </c>
      <c r="D65" s="1" t="s">
        <v>649</v>
      </c>
      <c r="E65" s="15" t="s">
        <v>650</v>
      </c>
      <c r="F65" s="1" t="s">
        <v>30</v>
      </c>
      <c r="G65" s="32">
        <v>8000</v>
      </c>
      <c r="H65" s="1" t="s">
        <v>7</v>
      </c>
      <c r="I65" s="1">
        <v>2</v>
      </c>
    </row>
    <row r="66" spans="1:9" x14ac:dyDescent="0.35">
      <c r="A66" s="1">
        <f>ROW()-ROW(BARANGMASUK!$A$3)</f>
        <v>63</v>
      </c>
      <c r="B66" s="1" t="s">
        <v>358</v>
      </c>
      <c r="C66" s="24">
        <v>45404</v>
      </c>
      <c r="D66" s="1" t="s">
        <v>341</v>
      </c>
      <c r="E66" s="15" t="s">
        <v>342</v>
      </c>
      <c r="F66" s="1" t="s">
        <v>30</v>
      </c>
      <c r="H66" s="1" t="s">
        <v>7</v>
      </c>
      <c r="I66" s="1">
        <v>1</v>
      </c>
    </row>
    <row r="67" spans="1:9" x14ac:dyDescent="0.35">
      <c r="A67" s="1">
        <f>ROW()-ROW(BARANGMASUK!$A$3)</f>
        <v>64</v>
      </c>
      <c r="B67" s="1" t="s">
        <v>574</v>
      </c>
      <c r="C67" s="24">
        <v>45577</v>
      </c>
      <c r="D67" s="1" t="s">
        <v>564</v>
      </c>
      <c r="E67" s="15" t="s">
        <v>565</v>
      </c>
      <c r="F67" s="1" t="s">
        <v>30</v>
      </c>
      <c r="G67" s="32">
        <v>80000</v>
      </c>
      <c r="H67" s="1" t="s">
        <v>7</v>
      </c>
      <c r="I67" s="1">
        <v>1</v>
      </c>
    </row>
    <row r="68" spans="1:9" x14ac:dyDescent="0.35">
      <c r="A68" s="1">
        <f>ROW()-ROW(BARANGMASUK!$A$3)</f>
        <v>65</v>
      </c>
      <c r="B68" s="1" t="s">
        <v>576</v>
      </c>
      <c r="C68" s="24">
        <v>45577</v>
      </c>
      <c r="D68" s="1" t="s">
        <v>568</v>
      </c>
      <c r="E68" s="15" t="s">
        <v>569</v>
      </c>
      <c r="F68" s="1" t="s">
        <v>30</v>
      </c>
      <c r="G68" s="32">
        <v>600000</v>
      </c>
      <c r="H68" s="1" t="s">
        <v>7</v>
      </c>
      <c r="I68" s="1">
        <v>3</v>
      </c>
    </row>
    <row r="69" spans="1:9" x14ac:dyDescent="0.35">
      <c r="A69" s="1">
        <f>ROW()-ROW(BARANGMASUK!$A$3)</f>
        <v>66</v>
      </c>
      <c r="B69" s="1" t="s">
        <v>575</v>
      </c>
      <c r="C69" s="24">
        <v>45577</v>
      </c>
      <c r="D69" s="1" t="s">
        <v>566</v>
      </c>
      <c r="E69" s="15" t="s">
        <v>567</v>
      </c>
      <c r="F69" s="1" t="s">
        <v>30</v>
      </c>
      <c r="G69" s="32">
        <v>1760000</v>
      </c>
      <c r="H69" s="1" t="s">
        <v>7</v>
      </c>
      <c r="I69" s="1">
        <v>11</v>
      </c>
    </row>
    <row r="70" spans="1:9" x14ac:dyDescent="0.35">
      <c r="A70" s="1">
        <f>ROW()-ROW(BARANGMASUK!$A$3)</f>
        <v>67</v>
      </c>
      <c r="B70" s="1" t="s">
        <v>577</v>
      </c>
      <c r="C70" s="24">
        <v>45577</v>
      </c>
      <c r="D70" s="1" t="s">
        <v>570</v>
      </c>
      <c r="E70" s="15" t="s">
        <v>571</v>
      </c>
      <c r="F70" s="1" t="s">
        <v>30</v>
      </c>
      <c r="G70" s="32">
        <v>440000</v>
      </c>
      <c r="H70" s="1" t="s">
        <v>7</v>
      </c>
      <c r="I70" s="1">
        <v>2</v>
      </c>
    </row>
    <row r="71" spans="1:9" x14ac:dyDescent="0.35">
      <c r="A71" s="1">
        <f>ROW()-ROW(BARANGMASUK!$A$3)</f>
        <v>68</v>
      </c>
      <c r="B71" s="1" t="s">
        <v>578</v>
      </c>
      <c r="C71" s="24">
        <v>45577</v>
      </c>
      <c r="D71" s="1" t="s">
        <v>572</v>
      </c>
      <c r="E71" s="15" t="s">
        <v>573</v>
      </c>
      <c r="F71" s="1" t="s">
        <v>30</v>
      </c>
      <c r="G71" s="32">
        <v>640000</v>
      </c>
      <c r="H71" s="1" t="s">
        <v>7</v>
      </c>
      <c r="I71" s="1">
        <v>4</v>
      </c>
    </row>
    <row r="72" spans="1:9" x14ac:dyDescent="0.35">
      <c r="A72" s="1">
        <f>ROW()-ROW(BARANGMASUK!$A$3)</f>
        <v>69</v>
      </c>
      <c r="B72" s="1" t="s">
        <v>480</v>
      </c>
      <c r="C72" s="24">
        <v>45469</v>
      </c>
      <c r="D72" s="1" t="s">
        <v>433</v>
      </c>
      <c r="E72" s="15" t="s">
        <v>434</v>
      </c>
      <c r="F72" s="1" t="s">
        <v>435</v>
      </c>
      <c r="G72" s="32">
        <v>62000</v>
      </c>
      <c r="H72" s="1" t="s">
        <v>7</v>
      </c>
      <c r="I72" s="1">
        <v>2</v>
      </c>
    </row>
    <row r="73" spans="1:9" x14ac:dyDescent="0.35">
      <c r="A73" s="1">
        <f>ROW()-ROW(BARANGMASUK!$A$3)</f>
        <v>70</v>
      </c>
      <c r="B73" s="1" t="s">
        <v>536</v>
      </c>
      <c r="C73" s="24">
        <v>45512</v>
      </c>
      <c r="D73" s="1" t="s">
        <v>433</v>
      </c>
      <c r="E73" s="15" t="s">
        <v>434</v>
      </c>
      <c r="F73" s="1" t="s">
        <v>435</v>
      </c>
      <c r="G73" s="32">
        <v>18000</v>
      </c>
      <c r="H73" s="1" t="s">
        <v>7</v>
      </c>
      <c r="I73" s="1">
        <v>6</v>
      </c>
    </row>
    <row r="74" spans="1:9" x14ac:dyDescent="0.35">
      <c r="A74" s="1">
        <f>ROW()-ROW(BARANGMASUK!$A$3)</f>
        <v>71</v>
      </c>
      <c r="B74" s="1" t="s">
        <v>270</v>
      </c>
      <c r="C74" s="24">
        <v>45325</v>
      </c>
      <c r="D74" s="1" t="s">
        <v>116</v>
      </c>
      <c r="E74" s="15" t="s">
        <v>117</v>
      </c>
      <c r="F74" s="1" t="s">
        <v>30</v>
      </c>
      <c r="H74" s="1" t="s">
        <v>7</v>
      </c>
      <c r="I74" s="1">
        <v>3</v>
      </c>
    </row>
    <row r="75" spans="1:9" x14ac:dyDescent="0.35">
      <c r="A75" s="1">
        <f>ROW()-ROW(BARANGMASUK!$A$3)</f>
        <v>72</v>
      </c>
      <c r="B75" s="1" t="s">
        <v>364</v>
      </c>
      <c r="C75" s="24">
        <v>45404</v>
      </c>
      <c r="D75" s="1" t="s">
        <v>116</v>
      </c>
      <c r="E75" s="15" t="s">
        <v>117</v>
      </c>
      <c r="F75" s="1" t="s">
        <v>30</v>
      </c>
      <c r="H75" s="1" t="s">
        <v>7</v>
      </c>
      <c r="I75" s="1">
        <v>3</v>
      </c>
    </row>
    <row r="76" spans="1:9" x14ac:dyDescent="0.35">
      <c r="A76" s="1">
        <f>ROW()-ROW(BARANGMASUK!$A$3)</f>
        <v>73</v>
      </c>
      <c r="B76" s="1" t="s">
        <v>755</v>
      </c>
      <c r="C76" s="24">
        <v>45583</v>
      </c>
      <c r="D76" s="1" t="s">
        <v>116</v>
      </c>
      <c r="E76" s="15" t="s">
        <v>117</v>
      </c>
      <c r="F76" s="1" t="s">
        <v>30</v>
      </c>
      <c r="G76" s="32">
        <v>33000</v>
      </c>
      <c r="H76" s="1" t="s">
        <v>7</v>
      </c>
      <c r="I76" s="1">
        <v>11</v>
      </c>
    </row>
    <row r="77" spans="1:9" x14ac:dyDescent="0.35">
      <c r="A77" s="1">
        <f>ROW()-ROW(BARANGMASUK!$A$3)</f>
        <v>74</v>
      </c>
      <c r="B77" s="1" t="s">
        <v>769</v>
      </c>
      <c r="C77" s="24">
        <v>45645</v>
      </c>
      <c r="D77" s="1" t="s">
        <v>116</v>
      </c>
      <c r="E77" s="15" t="s">
        <v>117</v>
      </c>
      <c r="F77" s="1" t="s">
        <v>30</v>
      </c>
      <c r="G77" s="32">
        <v>42000</v>
      </c>
      <c r="H77" s="1" t="s">
        <v>7</v>
      </c>
      <c r="I77" s="1">
        <v>2</v>
      </c>
    </row>
    <row r="78" spans="1:9" x14ac:dyDescent="0.35">
      <c r="A78" s="1">
        <f>ROW()-ROW(BARANGMASUK!$A$3)</f>
        <v>75</v>
      </c>
      <c r="B78" s="1" t="s">
        <v>699</v>
      </c>
      <c r="C78" s="24">
        <v>45577</v>
      </c>
      <c r="D78" s="1" t="s">
        <v>624</v>
      </c>
      <c r="E78" s="15" t="s">
        <v>625</v>
      </c>
      <c r="F78" s="1" t="s">
        <v>30</v>
      </c>
      <c r="G78" s="32">
        <v>11500</v>
      </c>
      <c r="H78" s="1" t="s">
        <v>7</v>
      </c>
      <c r="I78" s="1">
        <v>1</v>
      </c>
    </row>
    <row r="79" spans="1:9" x14ac:dyDescent="0.35">
      <c r="A79" s="1">
        <f>ROW()-ROW(BARANGMASUK!$A$3)</f>
        <v>76</v>
      </c>
      <c r="B79" s="1" t="s">
        <v>697</v>
      </c>
      <c r="C79" s="24">
        <v>45577</v>
      </c>
      <c r="D79" s="1" t="s">
        <v>620</v>
      </c>
      <c r="E79" s="15" t="s">
        <v>621</v>
      </c>
      <c r="F79" s="1" t="s">
        <v>30</v>
      </c>
      <c r="G79" s="32">
        <v>11500</v>
      </c>
      <c r="H79" s="1" t="s">
        <v>7</v>
      </c>
      <c r="I79" s="1">
        <v>1</v>
      </c>
    </row>
    <row r="80" spans="1:9" x14ac:dyDescent="0.35">
      <c r="A80" s="1">
        <f>ROW()-ROW(BARANGMASUK!$A$3)</f>
        <v>77</v>
      </c>
      <c r="B80" s="1" t="s">
        <v>493</v>
      </c>
      <c r="C80" s="24">
        <v>45469</v>
      </c>
      <c r="D80" s="1" t="s">
        <v>460</v>
      </c>
      <c r="E80" s="15" t="s">
        <v>463</v>
      </c>
      <c r="F80" s="1" t="s">
        <v>30</v>
      </c>
      <c r="G80" s="32">
        <v>10500</v>
      </c>
      <c r="H80" s="1" t="s">
        <v>7</v>
      </c>
      <c r="I80" s="1">
        <v>1</v>
      </c>
    </row>
    <row r="81" spans="1:9" x14ac:dyDescent="0.35">
      <c r="A81" s="1">
        <f>ROW()-ROW(BARANGMASUK!$A$3)</f>
        <v>78</v>
      </c>
      <c r="B81" s="1" t="s">
        <v>281</v>
      </c>
      <c r="C81" s="24">
        <v>45325</v>
      </c>
      <c r="D81" s="1" t="s">
        <v>140</v>
      </c>
      <c r="E81" s="15" t="s">
        <v>141</v>
      </c>
      <c r="F81" s="1" t="s">
        <v>30</v>
      </c>
      <c r="H81" s="1" t="s">
        <v>7</v>
      </c>
      <c r="I81" s="1">
        <v>1</v>
      </c>
    </row>
    <row r="82" spans="1:9" x14ac:dyDescent="0.35">
      <c r="A82" s="1">
        <f>ROW()-ROW(BARANGMASUK!$A$3)</f>
        <v>79</v>
      </c>
      <c r="B82" s="1" t="s">
        <v>296</v>
      </c>
      <c r="C82" s="24">
        <v>45325</v>
      </c>
      <c r="D82" s="1" t="s">
        <v>143</v>
      </c>
      <c r="E82" s="15" t="s">
        <v>144</v>
      </c>
      <c r="F82" s="1" t="s">
        <v>30</v>
      </c>
      <c r="H82" s="1" t="s">
        <v>7</v>
      </c>
      <c r="I82" s="1">
        <v>1</v>
      </c>
    </row>
    <row r="83" spans="1:9" x14ac:dyDescent="0.35">
      <c r="A83" s="1">
        <f>ROW()-ROW(BARANGMASUK!$A$3)</f>
        <v>80</v>
      </c>
      <c r="B83" s="1" t="s">
        <v>696</v>
      </c>
      <c r="C83" s="24">
        <v>45577</v>
      </c>
      <c r="D83" s="1" t="s">
        <v>618</v>
      </c>
      <c r="E83" s="15" t="s">
        <v>619</v>
      </c>
      <c r="F83" s="1" t="s">
        <v>30</v>
      </c>
      <c r="G83" s="32">
        <v>18000</v>
      </c>
      <c r="H83" s="1" t="s">
        <v>7</v>
      </c>
      <c r="I83" s="1">
        <v>1</v>
      </c>
    </row>
    <row r="84" spans="1:9" x14ac:dyDescent="0.35">
      <c r="A84" s="1">
        <f>ROW()-ROW(BARANGMASUK!$A$3)</f>
        <v>81</v>
      </c>
      <c r="B84" s="1" t="s">
        <v>498</v>
      </c>
      <c r="C84" s="24">
        <v>45469</v>
      </c>
      <c r="D84" s="1" t="s">
        <v>470</v>
      </c>
      <c r="E84" s="15" t="s">
        <v>471</v>
      </c>
      <c r="F84" s="1" t="s">
        <v>30</v>
      </c>
      <c r="G84" s="32">
        <v>8500</v>
      </c>
      <c r="H84" s="1" t="s">
        <v>7</v>
      </c>
      <c r="I84" s="1">
        <v>1</v>
      </c>
    </row>
    <row r="85" spans="1:9" x14ac:dyDescent="0.35">
      <c r="A85" s="1">
        <f>ROW()-ROW(BARANGMASUK!$A$3)</f>
        <v>82</v>
      </c>
      <c r="B85" s="1" t="s">
        <v>494</v>
      </c>
      <c r="C85" s="24">
        <v>45469</v>
      </c>
      <c r="D85" s="1" t="s">
        <v>461</v>
      </c>
      <c r="E85" s="15" t="s">
        <v>462</v>
      </c>
      <c r="F85" s="1" t="s">
        <v>30</v>
      </c>
      <c r="G85" s="32">
        <v>12000</v>
      </c>
      <c r="H85" s="1" t="s">
        <v>7</v>
      </c>
      <c r="I85" s="1">
        <v>1</v>
      </c>
    </row>
    <row r="86" spans="1:9" x14ac:dyDescent="0.35">
      <c r="A86" s="1">
        <f>ROW()-ROW(BARANGMASUK!$A$3)</f>
        <v>83</v>
      </c>
      <c r="B86" s="1" t="s">
        <v>698</v>
      </c>
      <c r="C86" s="24">
        <v>45577</v>
      </c>
      <c r="D86" s="1" t="s">
        <v>622</v>
      </c>
      <c r="E86" s="15" t="s">
        <v>623</v>
      </c>
      <c r="F86" s="1" t="s">
        <v>30</v>
      </c>
      <c r="G86" s="32">
        <v>16000</v>
      </c>
      <c r="H86" s="1" t="s">
        <v>7</v>
      </c>
      <c r="I86" s="1">
        <v>1</v>
      </c>
    </row>
    <row r="87" spans="1:9" x14ac:dyDescent="0.35">
      <c r="A87" s="1">
        <f>ROW()-ROW(BARANGMASUK!$A$3)</f>
        <v>84</v>
      </c>
      <c r="B87" s="1" t="s">
        <v>412</v>
      </c>
      <c r="C87" s="24">
        <v>45469</v>
      </c>
      <c r="D87" s="1" t="s">
        <v>410</v>
      </c>
      <c r="E87" s="15" t="s">
        <v>411</v>
      </c>
      <c r="F87" s="1" t="s">
        <v>30</v>
      </c>
      <c r="G87" s="32">
        <v>189000</v>
      </c>
      <c r="H87" s="1" t="s">
        <v>7</v>
      </c>
      <c r="I87" s="1">
        <v>1</v>
      </c>
    </row>
    <row r="88" spans="1:9" x14ac:dyDescent="0.35">
      <c r="A88" s="1">
        <f>ROW()-ROW(BARANGMASUK!$A$3)</f>
        <v>85</v>
      </c>
      <c r="B88" s="1" t="s">
        <v>598</v>
      </c>
      <c r="C88" s="24">
        <v>45577</v>
      </c>
      <c r="D88" s="1" t="s">
        <v>587</v>
      </c>
      <c r="E88" s="15" t="s">
        <v>595</v>
      </c>
      <c r="F88" s="1" t="s">
        <v>30</v>
      </c>
      <c r="G88" s="32">
        <v>103000</v>
      </c>
      <c r="H88" s="1" t="s">
        <v>7</v>
      </c>
      <c r="I88" s="1">
        <v>1</v>
      </c>
    </row>
    <row r="89" spans="1:9" x14ac:dyDescent="0.35">
      <c r="A89" s="1">
        <f>ROW()-ROW(BARANGMASUK!$A$3)</f>
        <v>86</v>
      </c>
      <c r="B89" s="1" t="s">
        <v>593</v>
      </c>
      <c r="C89" s="24">
        <v>45577</v>
      </c>
      <c r="D89" s="1" t="s">
        <v>585</v>
      </c>
      <c r="E89" s="15" t="s">
        <v>586</v>
      </c>
      <c r="F89" s="1" t="s">
        <v>30</v>
      </c>
      <c r="G89" s="32">
        <v>309000</v>
      </c>
      <c r="H89" s="1" t="s">
        <v>7</v>
      </c>
      <c r="I89" s="1">
        <v>3</v>
      </c>
    </row>
    <row r="90" spans="1:9" x14ac:dyDescent="0.35">
      <c r="A90" s="1">
        <f>ROW()-ROW(BARANGMASUK!$A$3)</f>
        <v>87</v>
      </c>
      <c r="B90" s="1" t="s">
        <v>785</v>
      </c>
      <c r="C90" s="24">
        <v>45630</v>
      </c>
      <c r="D90" s="1" t="s">
        <v>585</v>
      </c>
      <c r="E90" s="15" t="s">
        <v>586</v>
      </c>
      <c r="F90" s="1" t="s">
        <v>30</v>
      </c>
      <c r="G90" s="32">
        <v>100000</v>
      </c>
      <c r="H90" s="1" t="s">
        <v>7</v>
      </c>
      <c r="I90" s="1">
        <v>1</v>
      </c>
    </row>
    <row r="91" spans="1:9" x14ac:dyDescent="0.35">
      <c r="A91" s="1">
        <f>ROW()-ROW(BARANGMASUK!$A$3)</f>
        <v>88</v>
      </c>
      <c r="B91" s="1" t="s">
        <v>794</v>
      </c>
      <c r="C91" s="24">
        <v>45630</v>
      </c>
      <c r="D91" s="1" t="s">
        <v>786</v>
      </c>
      <c r="E91" s="15" t="s">
        <v>787</v>
      </c>
      <c r="F91" s="1" t="s">
        <v>30</v>
      </c>
      <c r="G91" s="32">
        <v>170000</v>
      </c>
      <c r="H91" s="1" t="s">
        <v>7</v>
      </c>
      <c r="I91" s="1">
        <v>1</v>
      </c>
    </row>
    <row r="92" spans="1:9" x14ac:dyDescent="0.35">
      <c r="A92" s="1">
        <f>ROW()-ROW(BARANGMASUK!$A$3)</f>
        <v>89</v>
      </c>
      <c r="B92" s="1" t="s">
        <v>590</v>
      </c>
      <c r="C92" s="24">
        <v>45577</v>
      </c>
      <c r="D92" s="1" t="s">
        <v>579</v>
      </c>
      <c r="E92" s="15" t="s">
        <v>580</v>
      </c>
      <c r="F92" s="1" t="s">
        <v>30</v>
      </c>
      <c r="G92" s="32">
        <v>154500</v>
      </c>
      <c r="H92" s="1" t="s">
        <v>7</v>
      </c>
      <c r="I92" s="1">
        <v>1</v>
      </c>
    </row>
    <row r="93" spans="1:9" x14ac:dyDescent="0.35">
      <c r="A93" s="1">
        <f>ROW()-ROW(BARANGMASUK!$A$3)</f>
        <v>90</v>
      </c>
      <c r="B93" s="1" t="s">
        <v>592</v>
      </c>
      <c r="C93" s="24">
        <v>45577</v>
      </c>
      <c r="D93" s="1" t="s">
        <v>583</v>
      </c>
      <c r="E93" s="15" t="s">
        <v>584</v>
      </c>
      <c r="F93" s="1" t="s">
        <v>30</v>
      </c>
      <c r="G93" s="32">
        <v>309000</v>
      </c>
      <c r="H93" s="1" t="s">
        <v>7</v>
      </c>
      <c r="I93" s="1">
        <v>2</v>
      </c>
    </row>
    <row r="94" spans="1:9" x14ac:dyDescent="0.35">
      <c r="A94" s="1">
        <f>ROW()-ROW(BARANGMASUK!$A$3)</f>
        <v>91</v>
      </c>
      <c r="B94" s="1" t="s">
        <v>591</v>
      </c>
      <c r="C94" s="24">
        <v>45577</v>
      </c>
      <c r="D94" s="1" t="s">
        <v>581</v>
      </c>
      <c r="E94" s="15" t="s">
        <v>582</v>
      </c>
      <c r="F94" s="1" t="s">
        <v>30</v>
      </c>
      <c r="G94" s="32">
        <v>309000</v>
      </c>
      <c r="H94" s="1" t="s">
        <v>7</v>
      </c>
      <c r="I94" s="1">
        <v>2</v>
      </c>
    </row>
    <row r="95" spans="1:9" x14ac:dyDescent="0.35">
      <c r="A95" s="1">
        <f>ROW()-ROW(BARANGMASUK!$A$3)</f>
        <v>92</v>
      </c>
      <c r="B95" s="1" t="s">
        <v>541</v>
      </c>
      <c r="C95" s="24">
        <v>45512</v>
      </c>
      <c r="D95" s="1" t="s">
        <v>539</v>
      </c>
      <c r="E95" s="15" t="s">
        <v>540</v>
      </c>
      <c r="F95" s="1" t="s">
        <v>304</v>
      </c>
      <c r="G95" s="32">
        <v>215000</v>
      </c>
      <c r="H95" s="1" t="s">
        <v>7</v>
      </c>
      <c r="I95" s="1">
        <v>5</v>
      </c>
    </row>
    <row r="96" spans="1:9" x14ac:dyDescent="0.35">
      <c r="A96" s="1">
        <f>ROW()-ROW(BARANGMASUK!$A$3)</f>
        <v>93</v>
      </c>
      <c r="B96" s="1" t="s">
        <v>754</v>
      </c>
      <c r="C96" s="24">
        <v>45583</v>
      </c>
      <c r="D96" s="1" t="s">
        <v>539</v>
      </c>
      <c r="E96" s="15" t="s">
        <v>540</v>
      </c>
      <c r="F96" s="1" t="s">
        <v>304</v>
      </c>
      <c r="G96" s="32">
        <v>215000</v>
      </c>
      <c r="H96" s="1" t="s">
        <v>7</v>
      </c>
      <c r="I96" s="1">
        <v>5</v>
      </c>
    </row>
    <row r="97" spans="1:9" x14ac:dyDescent="0.35">
      <c r="A97" s="1">
        <f>ROW()-ROW(BARANGMASUK!$A$3)</f>
        <v>94</v>
      </c>
      <c r="B97" s="1" t="s">
        <v>774</v>
      </c>
      <c r="C97" s="24">
        <v>45645</v>
      </c>
      <c r="D97" s="1" t="s">
        <v>539</v>
      </c>
      <c r="E97" s="15" t="s">
        <v>540</v>
      </c>
      <c r="F97" s="1" t="s">
        <v>304</v>
      </c>
      <c r="G97" s="32">
        <v>129000</v>
      </c>
      <c r="H97" s="1" t="s">
        <v>7</v>
      </c>
      <c r="I97" s="1">
        <v>3</v>
      </c>
    </row>
    <row r="98" spans="1:9" x14ac:dyDescent="0.35">
      <c r="A98" s="1">
        <f>ROW()-ROW(BARANGMASUK!$A$3)</f>
        <v>95</v>
      </c>
      <c r="B98" s="1" t="s">
        <v>213</v>
      </c>
      <c r="C98" s="24">
        <v>45299</v>
      </c>
      <c r="D98" s="1" t="s">
        <v>290</v>
      </c>
      <c r="E98" s="15" t="s">
        <v>291</v>
      </c>
      <c r="F98" s="1" t="s">
        <v>30</v>
      </c>
      <c r="H98" s="1" t="s">
        <v>7</v>
      </c>
      <c r="I98" s="1">
        <v>10</v>
      </c>
    </row>
    <row r="99" spans="1:9" x14ac:dyDescent="0.35">
      <c r="A99" s="1">
        <f>ROW()-ROW(BARANGMASUK!$A$3)</f>
        <v>96</v>
      </c>
      <c r="B99" s="1" t="s">
        <v>255</v>
      </c>
      <c r="C99" s="24">
        <v>45325</v>
      </c>
      <c r="D99" s="1" t="s">
        <v>158</v>
      </c>
      <c r="E99" s="15" t="s">
        <v>159</v>
      </c>
      <c r="F99" s="1" t="s">
        <v>106</v>
      </c>
      <c r="H99" s="1" t="s">
        <v>7</v>
      </c>
      <c r="I99" s="1">
        <v>1</v>
      </c>
    </row>
    <row r="100" spans="1:9" x14ac:dyDescent="0.35">
      <c r="A100" s="1">
        <f>ROW()-ROW(BARANGMASUK!$A$3)</f>
        <v>97</v>
      </c>
      <c r="B100" s="1" t="s">
        <v>784</v>
      </c>
      <c r="C100" s="24">
        <v>45642</v>
      </c>
      <c r="D100" s="1" t="s">
        <v>781</v>
      </c>
      <c r="E100" s="15" t="s">
        <v>782</v>
      </c>
      <c r="F100" s="1" t="s">
        <v>30</v>
      </c>
      <c r="G100" s="32">
        <v>70000</v>
      </c>
      <c r="H100" s="1" t="s">
        <v>7</v>
      </c>
      <c r="I100" s="1">
        <v>1</v>
      </c>
    </row>
    <row r="101" spans="1:9" x14ac:dyDescent="0.35">
      <c r="A101" s="1">
        <f>ROW()-ROW(BARANGMASUK!$A$3)</f>
        <v>98</v>
      </c>
      <c r="B101" s="1" t="s">
        <v>482</v>
      </c>
      <c r="C101" s="24">
        <v>45469</v>
      </c>
      <c r="D101" s="1" t="s">
        <v>438</v>
      </c>
      <c r="E101" s="15" t="s">
        <v>439</v>
      </c>
      <c r="F101" s="1" t="s">
        <v>41</v>
      </c>
      <c r="G101" s="32">
        <v>18000</v>
      </c>
      <c r="H101" s="1" t="s">
        <v>7</v>
      </c>
      <c r="I101" s="1">
        <v>4</v>
      </c>
    </row>
    <row r="102" spans="1:9" x14ac:dyDescent="0.35">
      <c r="A102" s="1">
        <f>ROW()-ROW(BARANGMASUK!$A$3)</f>
        <v>99</v>
      </c>
      <c r="B102" s="1" t="s">
        <v>483</v>
      </c>
      <c r="C102" s="24">
        <v>45469</v>
      </c>
      <c r="D102" s="1" t="s">
        <v>440</v>
      </c>
      <c r="E102" s="15" t="s">
        <v>441</v>
      </c>
      <c r="F102" s="1" t="s">
        <v>41</v>
      </c>
      <c r="G102" s="32">
        <v>19500</v>
      </c>
      <c r="H102" s="1" t="s">
        <v>7</v>
      </c>
      <c r="I102" s="1">
        <v>3</v>
      </c>
    </row>
    <row r="103" spans="1:9" x14ac:dyDescent="0.35">
      <c r="A103" s="1">
        <f>ROW()-ROW(BARANGMASUK!$A$3)</f>
        <v>100</v>
      </c>
      <c r="B103" s="1" t="s">
        <v>738</v>
      </c>
      <c r="C103" s="24">
        <v>45577</v>
      </c>
      <c r="D103" s="1" t="s">
        <v>440</v>
      </c>
      <c r="E103" s="15" t="s">
        <v>441</v>
      </c>
      <c r="F103" s="1" t="s">
        <v>41</v>
      </c>
      <c r="G103" s="32">
        <v>6000</v>
      </c>
      <c r="H103" s="1" t="s">
        <v>7</v>
      </c>
      <c r="I103" s="1">
        <v>1</v>
      </c>
    </row>
    <row r="104" spans="1:9" x14ac:dyDescent="0.35">
      <c r="A104" s="1">
        <f>ROW()-ROW(BARANGMASUK!$A$3)</f>
        <v>101</v>
      </c>
      <c r="B104" s="1" t="s">
        <v>299</v>
      </c>
      <c r="C104" s="24">
        <v>45325</v>
      </c>
      <c r="D104" s="1" t="s">
        <v>205</v>
      </c>
      <c r="E104" s="15" t="s">
        <v>206</v>
      </c>
      <c r="F104" s="1" t="s">
        <v>30</v>
      </c>
      <c r="H104" s="1" t="s">
        <v>7</v>
      </c>
      <c r="I104" s="1">
        <v>12</v>
      </c>
    </row>
    <row r="105" spans="1:9" x14ac:dyDescent="0.35">
      <c r="A105" s="1">
        <f>ROW()-ROW(BARANGMASUK!$A$3)</f>
        <v>102</v>
      </c>
      <c r="B105" s="1" t="s">
        <v>484</v>
      </c>
      <c r="C105" s="24">
        <v>45469</v>
      </c>
      <c r="D105" s="1" t="s">
        <v>442</v>
      </c>
      <c r="E105" s="15" t="s">
        <v>443</v>
      </c>
      <c r="F105" s="1" t="s">
        <v>41</v>
      </c>
      <c r="G105" s="32">
        <v>16000</v>
      </c>
      <c r="H105" s="1" t="s">
        <v>7</v>
      </c>
      <c r="I105" s="1">
        <v>1</v>
      </c>
    </row>
    <row r="106" spans="1:9" x14ac:dyDescent="0.35">
      <c r="A106" s="1">
        <f>ROW()-ROW(BARANGMASUK!$A$3)</f>
        <v>103</v>
      </c>
      <c r="B106" s="1" t="s">
        <v>542</v>
      </c>
      <c r="C106" s="24">
        <v>45512</v>
      </c>
      <c r="D106" s="1" t="s">
        <v>442</v>
      </c>
      <c r="E106" s="15" t="s">
        <v>443</v>
      </c>
      <c r="F106" s="1" t="s">
        <v>41</v>
      </c>
      <c r="G106" s="32">
        <v>72000</v>
      </c>
      <c r="H106" s="1" t="s">
        <v>7</v>
      </c>
      <c r="I106" s="1">
        <v>4</v>
      </c>
    </row>
    <row r="107" spans="1:9" x14ac:dyDescent="0.35">
      <c r="A107" s="1">
        <f>ROW()-ROW(BARANGMASUK!$A$3)</f>
        <v>104</v>
      </c>
      <c r="B107" s="1" t="s">
        <v>736</v>
      </c>
      <c r="C107" s="24">
        <v>45577</v>
      </c>
      <c r="D107" s="1" t="s">
        <v>442</v>
      </c>
      <c r="E107" s="15" t="s">
        <v>443</v>
      </c>
      <c r="F107" s="1" t="s">
        <v>41</v>
      </c>
      <c r="G107" s="32">
        <v>16000</v>
      </c>
      <c r="H107" s="1" t="s">
        <v>7</v>
      </c>
      <c r="I107" s="1">
        <v>1</v>
      </c>
    </row>
    <row r="108" spans="1:9" x14ac:dyDescent="0.35">
      <c r="A108" s="1">
        <f>ROW()-ROW(BARANGMASUK!$A$3)</f>
        <v>105</v>
      </c>
      <c r="B108" s="1" t="s">
        <v>778</v>
      </c>
      <c r="C108" s="24">
        <v>45645</v>
      </c>
      <c r="D108" s="1" t="s">
        <v>442</v>
      </c>
      <c r="E108" s="15" t="s">
        <v>443</v>
      </c>
      <c r="F108" s="1" t="s">
        <v>41</v>
      </c>
      <c r="G108" s="32">
        <v>74000</v>
      </c>
      <c r="H108" s="1" t="s">
        <v>7</v>
      </c>
      <c r="I108" s="1">
        <v>4</v>
      </c>
    </row>
    <row r="109" spans="1:9" x14ac:dyDescent="0.35">
      <c r="A109" s="1">
        <f>ROW()-ROW(BARANGMASUK!$A$3)</f>
        <v>106</v>
      </c>
      <c r="B109" s="1" t="s">
        <v>492</v>
      </c>
      <c r="C109" s="24">
        <v>45469</v>
      </c>
      <c r="D109" s="1" t="s">
        <v>458</v>
      </c>
      <c r="E109" s="15" t="s">
        <v>459</v>
      </c>
      <c r="F109" s="1" t="s">
        <v>30</v>
      </c>
      <c r="G109" s="32">
        <v>46000</v>
      </c>
      <c r="H109" s="1" t="s">
        <v>7</v>
      </c>
      <c r="I109" s="1">
        <v>2</v>
      </c>
    </row>
    <row r="110" spans="1:9" x14ac:dyDescent="0.35">
      <c r="A110" s="1">
        <f>ROW()-ROW(BARANGMASUK!$A$3)</f>
        <v>107</v>
      </c>
      <c r="B110" s="1" t="s">
        <v>538</v>
      </c>
      <c r="C110" s="24">
        <v>45512</v>
      </c>
      <c r="D110" s="1" t="s">
        <v>458</v>
      </c>
      <c r="E110" s="15" t="s">
        <v>459</v>
      </c>
      <c r="F110" s="1" t="s">
        <v>30</v>
      </c>
      <c r="G110" s="32">
        <v>75000</v>
      </c>
      <c r="H110" s="1" t="s">
        <v>7</v>
      </c>
      <c r="I110" s="1">
        <v>3</v>
      </c>
    </row>
    <row r="111" spans="1:9" x14ac:dyDescent="0.35">
      <c r="A111" s="1">
        <f>ROW()-ROW(BARANGMASUK!$A$3)</f>
        <v>108</v>
      </c>
      <c r="B111" s="1" t="s">
        <v>756</v>
      </c>
      <c r="C111" s="24">
        <v>45583</v>
      </c>
      <c r="D111" s="1" t="s">
        <v>458</v>
      </c>
      <c r="E111" s="15" t="s">
        <v>459</v>
      </c>
      <c r="F111" s="1" t="s">
        <v>30</v>
      </c>
      <c r="G111" s="32">
        <v>100000</v>
      </c>
      <c r="H111" s="1" t="s">
        <v>7</v>
      </c>
      <c r="I111" s="1">
        <v>4</v>
      </c>
    </row>
    <row r="112" spans="1:9" x14ac:dyDescent="0.35">
      <c r="A112" s="1">
        <f>ROW()-ROW(BARANGMASUK!$A$3)</f>
        <v>109</v>
      </c>
      <c r="B112" s="1" t="s">
        <v>777</v>
      </c>
      <c r="C112" s="24">
        <v>45645</v>
      </c>
      <c r="D112" s="1" t="s">
        <v>458</v>
      </c>
      <c r="E112" s="15" t="s">
        <v>459</v>
      </c>
      <c r="F112" s="1" t="s">
        <v>30</v>
      </c>
      <c r="G112" s="32">
        <v>75000</v>
      </c>
      <c r="H112" s="1" t="s">
        <v>7</v>
      </c>
      <c r="I112" s="1">
        <v>3</v>
      </c>
    </row>
    <row r="113" spans="1:9" x14ac:dyDescent="0.35">
      <c r="A113" s="1">
        <f>ROW()-ROW(BARANGMASUK!$A$3)</f>
        <v>110</v>
      </c>
      <c r="B113" s="1" t="s">
        <v>750</v>
      </c>
      <c r="C113" s="24">
        <v>45594</v>
      </c>
      <c r="D113" s="1" t="s">
        <v>760</v>
      </c>
      <c r="E113" s="15" t="s">
        <v>759</v>
      </c>
      <c r="F113" s="1" t="s">
        <v>562</v>
      </c>
      <c r="G113" s="32">
        <v>10000</v>
      </c>
      <c r="H113" s="1" t="s">
        <v>7</v>
      </c>
      <c r="I113" s="1">
        <v>1</v>
      </c>
    </row>
    <row r="114" spans="1:9" x14ac:dyDescent="0.35">
      <c r="A114" s="1">
        <f>ROW()-ROW(BARANGMASUK!$A$3)</f>
        <v>111</v>
      </c>
      <c r="B114" s="1" t="s">
        <v>486</v>
      </c>
      <c r="C114" s="24">
        <v>45469</v>
      </c>
      <c r="D114" s="1" t="s">
        <v>446</v>
      </c>
      <c r="E114" s="15" t="s">
        <v>447</v>
      </c>
      <c r="F114" s="1" t="s">
        <v>106</v>
      </c>
      <c r="G114" s="32">
        <v>45000</v>
      </c>
      <c r="H114" s="1" t="s">
        <v>7</v>
      </c>
      <c r="I114" s="1">
        <v>1</v>
      </c>
    </row>
    <row r="115" spans="1:9" x14ac:dyDescent="0.35">
      <c r="A115" s="1">
        <f>ROW()-ROW(BARANGMASUK!$A$3)</f>
        <v>112</v>
      </c>
      <c r="B115" s="1" t="s">
        <v>481</v>
      </c>
      <c r="C115" s="24">
        <v>45469</v>
      </c>
      <c r="D115" s="1" t="s">
        <v>436</v>
      </c>
      <c r="E115" s="15" t="s">
        <v>437</v>
      </c>
      <c r="F115" s="1" t="s">
        <v>41</v>
      </c>
      <c r="G115" s="32">
        <v>89000</v>
      </c>
      <c r="H115" s="1" t="s">
        <v>7</v>
      </c>
      <c r="I115" s="1">
        <v>2</v>
      </c>
    </row>
    <row r="116" spans="1:9" x14ac:dyDescent="0.35">
      <c r="A116" s="1">
        <f>ROW()-ROW(BARANGMASUK!$A$3)</f>
        <v>113</v>
      </c>
      <c r="B116" s="1" t="s">
        <v>485</v>
      </c>
      <c r="C116" s="24">
        <v>45469</v>
      </c>
      <c r="D116" s="1" t="s">
        <v>444</v>
      </c>
      <c r="E116" s="15" t="s">
        <v>445</v>
      </c>
      <c r="F116" s="1" t="s">
        <v>106</v>
      </c>
      <c r="G116" s="32">
        <v>18000</v>
      </c>
      <c r="H116" s="1" t="s">
        <v>7</v>
      </c>
      <c r="I116" s="1">
        <v>1</v>
      </c>
    </row>
    <row r="117" spans="1:9" x14ac:dyDescent="0.35">
      <c r="A117" s="1">
        <f>ROW()-ROW(BARANGMASUK!$A$3)</f>
        <v>114</v>
      </c>
      <c r="B117" s="1" t="s">
        <v>733</v>
      </c>
      <c r="C117" s="24">
        <v>45577</v>
      </c>
      <c r="D117" s="1" t="s">
        <v>444</v>
      </c>
      <c r="E117" s="15" t="s">
        <v>445</v>
      </c>
      <c r="F117" s="1" t="s">
        <v>106</v>
      </c>
      <c r="G117" s="32">
        <v>18000</v>
      </c>
      <c r="H117" s="1" t="s">
        <v>7</v>
      </c>
      <c r="I117" s="1">
        <v>1</v>
      </c>
    </row>
    <row r="118" spans="1:9" x14ac:dyDescent="0.35">
      <c r="A118" s="1">
        <f>ROW()-ROW(BARANGMASUK!$A$3)</f>
        <v>115</v>
      </c>
      <c r="B118" s="1" t="s">
        <v>220</v>
      </c>
      <c r="C118" s="24">
        <v>45320</v>
      </c>
      <c r="D118" s="1" t="s">
        <v>25</v>
      </c>
      <c r="E118" s="15" t="s">
        <v>26</v>
      </c>
      <c r="F118" s="1" t="s">
        <v>27</v>
      </c>
      <c r="H118" s="1" t="s">
        <v>7</v>
      </c>
      <c r="I118" s="1">
        <v>10</v>
      </c>
    </row>
    <row r="119" spans="1:9" x14ac:dyDescent="0.35">
      <c r="A119" s="1">
        <f>ROW()-ROW(BARANGMASUK!$A$3)</f>
        <v>116</v>
      </c>
      <c r="B119" s="1" t="s">
        <v>300</v>
      </c>
      <c r="C119" s="24">
        <v>45327</v>
      </c>
      <c r="D119" s="1" t="s">
        <v>25</v>
      </c>
      <c r="E119" s="15" t="s">
        <v>26</v>
      </c>
      <c r="F119" s="1" t="s">
        <v>27</v>
      </c>
      <c r="H119" s="1" t="s">
        <v>7</v>
      </c>
      <c r="I119" s="1">
        <v>5</v>
      </c>
    </row>
    <row r="120" spans="1:9" x14ac:dyDescent="0.35">
      <c r="A120" s="1">
        <f>ROW()-ROW(BARANGMASUK!$A$3)</f>
        <v>117</v>
      </c>
      <c r="B120" s="1" t="s">
        <v>302</v>
      </c>
      <c r="C120" s="24">
        <v>45353</v>
      </c>
      <c r="D120" s="1" t="s">
        <v>25</v>
      </c>
      <c r="E120" s="15" t="s">
        <v>50</v>
      </c>
      <c r="F120" s="1" t="s">
        <v>27</v>
      </c>
      <c r="H120" s="1" t="s">
        <v>7</v>
      </c>
      <c r="I120" s="1">
        <v>10</v>
      </c>
    </row>
    <row r="121" spans="1:9" x14ac:dyDescent="0.35">
      <c r="A121" s="1">
        <f>ROW()-ROW(BARANGMASUK!$A$3)</f>
        <v>118</v>
      </c>
      <c r="B121" s="1" t="s">
        <v>322</v>
      </c>
      <c r="C121" s="24">
        <v>45353</v>
      </c>
      <c r="D121" s="1" t="s">
        <v>25</v>
      </c>
      <c r="E121" s="15" t="s">
        <v>50</v>
      </c>
      <c r="F121" s="1" t="s">
        <v>27</v>
      </c>
      <c r="H121" s="1" t="s">
        <v>7</v>
      </c>
      <c r="I121" s="1">
        <v>2</v>
      </c>
    </row>
    <row r="122" spans="1:9" x14ac:dyDescent="0.35">
      <c r="A122" s="1">
        <f>ROW()-ROW(BARANGMASUK!$A$3)</f>
        <v>119</v>
      </c>
      <c r="B122" s="1" t="s">
        <v>329</v>
      </c>
      <c r="C122" s="24">
        <v>45370</v>
      </c>
      <c r="D122" s="1" t="s">
        <v>25</v>
      </c>
      <c r="E122" s="15" t="s">
        <v>50</v>
      </c>
      <c r="F122" s="1" t="s">
        <v>27</v>
      </c>
      <c r="H122" s="1" t="s">
        <v>7</v>
      </c>
      <c r="I122" s="1">
        <v>10</v>
      </c>
    </row>
    <row r="123" spans="1:9" x14ac:dyDescent="0.35">
      <c r="A123" s="1">
        <f>ROW()-ROW(BARANGMASUK!$A$3)</f>
        <v>120</v>
      </c>
      <c r="B123" s="1" t="s">
        <v>384</v>
      </c>
      <c r="C123" s="24">
        <v>45415</v>
      </c>
      <c r="D123" s="1" t="s">
        <v>25</v>
      </c>
      <c r="E123" s="15" t="s">
        <v>50</v>
      </c>
      <c r="F123" s="1" t="s">
        <v>27</v>
      </c>
      <c r="H123" s="1" t="s">
        <v>7</v>
      </c>
      <c r="I123" s="1">
        <v>5</v>
      </c>
    </row>
    <row r="124" spans="1:9" x14ac:dyDescent="0.35">
      <c r="A124" s="1">
        <f>ROW()-ROW(BARANGMASUK!$A$3)</f>
        <v>121</v>
      </c>
      <c r="B124" s="1" t="s">
        <v>391</v>
      </c>
      <c r="C124" s="24">
        <v>45425</v>
      </c>
      <c r="D124" s="1" t="s">
        <v>25</v>
      </c>
      <c r="E124" s="15" t="s">
        <v>50</v>
      </c>
      <c r="F124" s="1" t="s">
        <v>27</v>
      </c>
      <c r="H124" s="1" t="s">
        <v>7</v>
      </c>
      <c r="I124" s="1">
        <v>5</v>
      </c>
    </row>
    <row r="125" spans="1:9" x14ac:dyDescent="0.35">
      <c r="A125" s="1">
        <f>ROW()-ROW(BARANGMASUK!$A$3)</f>
        <v>122</v>
      </c>
      <c r="B125" s="1" t="s">
        <v>392</v>
      </c>
      <c r="C125" s="24">
        <v>45434</v>
      </c>
      <c r="D125" s="1" t="s">
        <v>25</v>
      </c>
      <c r="E125" s="15" t="s">
        <v>50</v>
      </c>
      <c r="F125" s="1" t="s">
        <v>27</v>
      </c>
      <c r="H125" s="1" t="s">
        <v>7</v>
      </c>
      <c r="I125" s="1">
        <v>5</v>
      </c>
    </row>
    <row r="126" spans="1:9" x14ac:dyDescent="0.35">
      <c r="A126" s="1">
        <f>ROW()-ROW(BARANGMASUK!$A$3)</f>
        <v>123</v>
      </c>
      <c r="B126" s="1" t="s">
        <v>407</v>
      </c>
      <c r="C126" s="24">
        <v>45454</v>
      </c>
      <c r="D126" s="1" t="s">
        <v>25</v>
      </c>
      <c r="E126" s="15" t="s">
        <v>50</v>
      </c>
      <c r="F126" s="1" t="s">
        <v>27</v>
      </c>
      <c r="G126" s="32">
        <v>550000</v>
      </c>
      <c r="H126" s="1" t="s">
        <v>7</v>
      </c>
      <c r="I126" s="1">
        <v>10</v>
      </c>
    </row>
    <row r="127" spans="1:9" x14ac:dyDescent="0.35">
      <c r="A127" s="1">
        <f>ROW()-ROW(BARANGMASUK!$A$3)</f>
        <v>124</v>
      </c>
      <c r="B127" s="1" t="s">
        <v>472</v>
      </c>
      <c r="C127" s="24">
        <v>45464</v>
      </c>
      <c r="D127" s="1" t="s">
        <v>25</v>
      </c>
      <c r="E127" s="15" t="s">
        <v>50</v>
      </c>
      <c r="F127" s="1" t="s">
        <v>27</v>
      </c>
      <c r="G127" s="32">
        <v>825000</v>
      </c>
      <c r="H127" s="1" t="s">
        <v>7</v>
      </c>
      <c r="I127" s="1">
        <v>15</v>
      </c>
    </row>
    <row r="128" spans="1:9" x14ac:dyDescent="0.35">
      <c r="A128" s="1">
        <f>ROW()-ROW(BARANGMASUK!$A$3)</f>
        <v>125</v>
      </c>
      <c r="B128" s="1" t="s">
        <v>503</v>
      </c>
      <c r="C128" s="24">
        <v>45323</v>
      </c>
      <c r="D128" s="1" t="s">
        <v>25</v>
      </c>
      <c r="E128" s="15" t="s">
        <v>50</v>
      </c>
      <c r="F128" s="1" t="s">
        <v>27</v>
      </c>
      <c r="G128" s="32">
        <v>275000</v>
      </c>
      <c r="H128" s="1" t="s">
        <v>7</v>
      </c>
      <c r="I128" s="1">
        <v>5</v>
      </c>
    </row>
    <row r="129" spans="1:9" x14ac:dyDescent="0.35">
      <c r="A129" s="1">
        <f>ROW()-ROW(BARANGMASUK!$A$3)</f>
        <v>126</v>
      </c>
      <c r="B129" s="1" t="s">
        <v>507</v>
      </c>
      <c r="C129" s="24">
        <v>45406</v>
      </c>
      <c r="D129" s="1" t="s">
        <v>25</v>
      </c>
      <c r="E129" s="15" t="s">
        <v>50</v>
      </c>
      <c r="F129" s="1" t="s">
        <v>27</v>
      </c>
      <c r="G129" s="32">
        <v>330000</v>
      </c>
      <c r="H129" s="1" t="s">
        <v>7</v>
      </c>
      <c r="I129" s="1">
        <v>6</v>
      </c>
    </row>
    <row r="130" spans="1:9" x14ac:dyDescent="0.35">
      <c r="A130" s="1">
        <f>ROW()-ROW(BARANGMASUK!$A$3)</f>
        <v>127</v>
      </c>
      <c r="B130" s="1" t="s">
        <v>515</v>
      </c>
      <c r="C130" s="24">
        <v>45353</v>
      </c>
      <c r="D130" s="1" t="s">
        <v>25</v>
      </c>
      <c r="E130" s="15" t="s">
        <v>50</v>
      </c>
      <c r="F130" s="1" t="s">
        <v>27</v>
      </c>
      <c r="G130" s="32">
        <v>540000</v>
      </c>
      <c r="H130" s="1" t="s">
        <v>7</v>
      </c>
      <c r="I130" s="1">
        <v>2</v>
      </c>
    </row>
    <row r="131" spans="1:9" x14ac:dyDescent="0.35">
      <c r="A131" s="1">
        <f>ROW()-ROW(BARANGMASUK!$A$3)</f>
        <v>128</v>
      </c>
      <c r="B131" s="1" t="s">
        <v>522</v>
      </c>
      <c r="C131" s="24">
        <v>45483</v>
      </c>
      <c r="D131" s="1" t="s">
        <v>25</v>
      </c>
      <c r="E131" s="15" t="s">
        <v>50</v>
      </c>
      <c r="F131" s="1" t="s">
        <v>27</v>
      </c>
      <c r="G131" s="32">
        <v>165000</v>
      </c>
      <c r="H131" s="1" t="s">
        <v>7</v>
      </c>
      <c r="I131" s="1">
        <v>3</v>
      </c>
    </row>
    <row r="132" spans="1:9" x14ac:dyDescent="0.35">
      <c r="A132" s="1">
        <f>ROW()-ROW(BARANGMASUK!$A$3)</f>
        <v>129</v>
      </c>
      <c r="B132" s="1" t="s">
        <v>523</v>
      </c>
      <c r="C132" s="24">
        <v>45484</v>
      </c>
      <c r="D132" s="1" t="s">
        <v>25</v>
      </c>
      <c r="E132" s="15" t="s">
        <v>50</v>
      </c>
      <c r="F132" s="1" t="s">
        <v>27</v>
      </c>
      <c r="G132" s="32">
        <v>550000</v>
      </c>
      <c r="H132" s="1" t="s">
        <v>7</v>
      </c>
      <c r="I132" s="1">
        <v>10</v>
      </c>
    </row>
    <row r="133" spans="1:9" x14ac:dyDescent="0.35">
      <c r="A133" s="1">
        <f>ROW()-ROW(BARANGMASUK!$A$3)</f>
        <v>130</v>
      </c>
      <c r="B133" s="1" t="s">
        <v>530</v>
      </c>
      <c r="C133" s="24">
        <v>45496</v>
      </c>
      <c r="D133" s="1" t="s">
        <v>25</v>
      </c>
      <c r="E133" s="15" t="s">
        <v>50</v>
      </c>
      <c r="F133" s="1" t="s">
        <v>27</v>
      </c>
      <c r="G133" s="32">
        <v>480000</v>
      </c>
      <c r="H133" s="1" t="s">
        <v>7</v>
      </c>
      <c r="I133" s="1">
        <v>8</v>
      </c>
    </row>
    <row r="134" spans="1:9" x14ac:dyDescent="0.35">
      <c r="A134" s="1">
        <f>ROW()-ROW(BARANGMASUK!$A$3)</f>
        <v>131</v>
      </c>
      <c r="B134" s="1" t="s">
        <v>532</v>
      </c>
      <c r="C134" s="24">
        <v>45475</v>
      </c>
      <c r="D134" s="1" t="s">
        <v>25</v>
      </c>
      <c r="E134" s="15" t="s">
        <v>50</v>
      </c>
      <c r="F134" s="1" t="s">
        <v>27</v>
      </c>
      <c r="G134" s="32">
        <v>110000</v>
      </c>
      <c r="H134" s="1" t="s">
        <v>7</v>
      </c>
      <c r="I134" s="1">
        <v>2</v>
      </c>
    </row>
    <row r="135" spans="1:9" x14ac:dyDescent="0.35">
      <c r="A135" s="1">
        <f>ROW()-ROW(BARANGMASUK!$A$3)</f>
        <v>132</v>
      </c>
      <c r="B135" s="1" t="s">
        <v>537</v>
      </c>
      <c r="C135" s="24">
        <v>45512</v>
      </c>
      <c r="D135" s="1" t="s">
        <v>25</v>
      </c>
      <c r="E135" s="15" t="s">
        <v>50</v>
      </c>
      <c r="F135" s="1" t="s">
        <v>27</v>
      </c>
      <c r="G135" s="32">
        <v>432000</v>
      </c>
      <c r="H135" s="1" t="s">
        <v>7</v>
      </c>
      <c r="I135" s="1">
        <v>8</v>
      </c>
    </row>
    <row r="136" spans="1:9" x14ac:dyDescent="0.35">
      <c r="A136" s="1">
        <f>ROW()-ROW(BARANGMASUK!$A$3)</f>
        <v>133</v>
      </c>
      <c r="B136" s="1" t="s">
        <v>547</v>
      </c>
      <c r="C136" s="24">
        <v>45516</v>
      </c>
      <c r="D136" s="1" t="s">
        <v>25</v>
      </c>
      <c r="E136" s="15" t="s">
        <v>50</v>
      </c>
      <c r="F136" s="1" t="s">
        <v>27</v>
      </c>
      <c r="G136" s="32">
        <v>275000</v>
      </c>
      <c r="H136" s="1" t="s">
        <v>7</v>
      </c>
      <c r="I136" s="1">
        <v>5</v>
      </c>
    </row>
    <row r="137" spans="1:9" x14ac:dyDescent="0.35">
      <c r="A137" s="1">
        <f>ROW()-ROW(BARANGMASUK!$A$3)</f>
        <v>134</v>
      </c>
      <c r="B137" s="1" t="s">
        <v>548</v>
      </c>
      <c r="C137" s="24">
        <v>45516</v>
      </c>
      <c r="D137" s="1" t="s">
        <v>25</v>
      </c>
      <c r="E137" s="15" t="s">
        <v>50</v>
      </c>
      <c r="F137" s="1" t="s">
        <v>27</v>
      </c>
      <c r="G137" s="32">
        <v>108000</v>
      </c>
      <c r="H137" s="1" t="s">
        <v>7</v>
      </c>
      <c r="I137" s="1">
        <v>2</v>
      </c>
    </row>
    <row r="138" spans="1:9" x14ac:dyDescent="0.35">
      <c r="A138" s="1">
        <f>ROW()-ROW(BARANGMASUK!$A$3)</f>
        <v>135</v>
      </c>
      <c r="B138" s="1" t="s">
        <v>559</v>
      </c>
      <c r="C138" s="24">
        <v>45555</v>
      </c>
      <c r="D138" s="1" t="s">
        <v>25</v>
      </c>
      <c r="E138" s="15" t="s">
        <v>50</v>
      </c>
      <c r="F138" s="1" t="s">
        <v>27</v>
      </c>
      <c r="G138" s="32">
        <v>550000</v>
      </c>
      <c r="H138" s="1" t="s">
        <v>7</v>
      </c>
      <c r="I138" s="1">
        <v>10</v>
      </c>
    </row>
    <row r="139" spans="1:9" x14ac:dyDescent="0.35">
      <c r="A139" s="1">
        <f>ROW()-ROW(BARANGMASUK!$A$3)</f>
        <v>136</v>
      </c>
      <c r="B139" s="1" t="s">
        <v>751</v>
      </c>
      <c r="C139" s="24">
        <v>45580</v>
      </c>
      <c r="D139" s="1" t="s">
        <v>25</v>
      </c>
      <c r="E139" s="15" t="s">
        <v>50</v>
      </c>
      <c r="F139" s="1" t="s">
        <v>27</v>
      </c>
      <c r="G139" s="32">
        <v>270000</v>
      </c>
      <c r="H139" s="1" t="s">
        <v>7</v>
      </c>
      <c r="I139" s="1">
        <v>5</v>
      </c>
    </row>
    <row r="140" spans="1:9" x14ac:dyDescent="0.35">
      <c r="A140" s="1">
        <f>ROW()-ROW(BARANGMASUK!$A$3)</f>
        <v>137</v>
      </c>
      <c r="B140" s="1" t="s">
        <v>751</v>
      </c>
      <c r="C140" s="24">
        <v>45597</v>
      </c>
      <c r="D140" s="1" t="s">
        <v>25</v>
      </c>
      <c r="E140" s="15" t="s">
        <v>50</v>
      </c>
      <c r="F140" s="1" t="s">
        <v>27</v>
      </c>
      <c r="G140" s="32">
        <v>275000</v>
      </c>
      <c r="H140" s="1" t="s">
        <v>7</v>
      </c>
      <c r="I140" s="1">
        <v>5</v>
      </c>
    </row>
    <row r="141" spans="1:9" x14ac:dyDescent="0.35">
      <c r="A141" s="1">
        <f>ROW()-ROW(BARANGMASUK!$A$3)</f>
        <v>138</v>
      </c>
      <c r="B141" s="1" t="s">
        <v>752</v>
      </c>
      <c r="C141" s="24">
        <v>45583</v>
      </c>
      <c r="D141" s="1" t="s">
        <v>25</v>
      </c>
      <c r="E141" s="15" t="s">
        <v>50</v>
      </c>
      <c r="F141" s="1" t="s">
        <v>27</v>
      </c>
      <c r="G141" s="32">
        <v>432000</v>
      </c>
      <c r="H141" s="1" t="s">
        <v>7</v>
      </c>
      <c r="I141" s="1">
        <v>8</v>
      </c>
    </row>
    <row r="142" spans="1:9" x14ac:dyDescent="0.35">
      <c r="A142" s="1">
        <f>ROW()-ROW(BARANGMASUK!$A$3)</f>
        <v>139</v>
      </c>
      <c r="B142" s="1" t="s">
        <v>752</v>
      </c>
      <c r="C142" s="24">
        <v>45600</v>
      </c>
      <c r="D142" s="1" t="s">
        <v>25</v>
      </c>
      <c r="E142" s="15" t="s">
        <v>50</v>
      </c>
      <c r="F142" s="1" t="s">
        <v>27</v>
      </c>
      <c r="G142" s="32">
        <v>295000</v>
      </c>
      <c r="H142" s="1" t="s">
        <v>7</v>
      </c>
      <c r="I142" s="1">
        <v>5</v>
      </c>
    </row>
    <row r="143" spans="1:9" x14ac:dyDescent="0.35">
      <c r="A143" s="1">
        <f>ROW()-ROW(BARANGMASUK!$A$3)</f>
        <v>140</v>
      </c>
      <c r="B143" s="1" t="s">
        <v>753</v>
      </c>
      <c r="C143" s="24">
        <v>45603</v>
      </c>
      <c r="D143" s="1" t="s">
        <v>25</v>
      </c>
      <c r="E143" s="15" t="s">
        <v>50</v>
      </c>
      <c r="F143" s="1" t="s">
        <v>27</v>
      </c>
      <c r="G143" s="32">
        <v>295000</v>
      </c>
      <c r="H143" s="1" t="s">
        <v>7</v>
      </c>
      <c r="I143" s="1">
        <v>5</v>
      </c>
    </row>
    <row r="144" spans="1:9" x14ac:dyDescent="0.35">
      <c r="A144" s="1">
        <f>ROW()-ROW(BARANGMASUK!$A$3)</f>
        <v>141</v>
      </c>
      <c r="B144" s="1" t="s">
        <v>755</v>
      </c>
      <c r="C144" s="24">
        <v>45610</v>
      </c>
      <c r="D144" s="1" t="s">
        <v>25</v>
      </c>
      <c r="E144" s="15" t="s">
        <v>50</v>
      </c>
      <c r="F144" s="1" t="s">
        <v>27</v>
      </c>
      <c r="G144" s="32">
        <v>540000</v>
      </c>
      <c r="H144" s="1" t="s">
        <v>7</v>
      </c>
      <c r="I144" s="1">
        <v>10</v>
      </c>
    </row>
    <row r="145" spans="1:9" x14ac:dyDescent="0.35">
      <c r="A145" s="1">
        <f>ROW()-ROW(BARANGMASUK!$A$3)</f>
        <v>142</v>
      </c>
      <c r="B145" s="1" t="s">
        <v>756</v>
      </c>
      <c r="C145" s="24">
        <v>45618</v>
      </c>
      <c r="D145" s="1" t="s">
        <v>25</v>
      </c>
      <c r="E145" s="15" t="s">
        <v>50</v>
      </c>
      <c r="F145" s="1" t="s">
        <v>27</v>
      </c>
      <c r="G145" s="32">
        <v>270000</v>
      </c>
      <c r="H145" s="1" t="s">
        <v>7</v>
      </c>
      <c r="I145" s="1">
        <v>5</v>
      </c>
    </row>
    <row r="146" spans="1:9" x14ac:dyDescent="0.35">
      <c r="A146" s="1">
        <f>ROW()-ROW(BARANGMASUK!$A$3)</f>
        <v>143</v>
      </c>
      <c r="B146" s="1" t="s">
        <v>766</v>
      </c>
      <c r="C146" s="24">
        <v>45645</v>
      </c>
      <c r="D146" s="1" t="s">
        <v>25</v>
      </c>
      <c r="E146" s="15" t="s">
        <v>50</v>
      </c>
      <c r="F146" s="1" t="s">
        <v>27</v>
      </c>
      <c r="G146" s="32">
        <v>540000</v>
      </c>
      <c r="H146" s="1" t="s">
        <v>7</v>
      </c>
      <c r="I146" s="1">
        <v>10</v>
      </c>
    </row>
    <row r="147" spans="1:9" x14ac:dyDescent="0.35">
      <c r="A147" s="1">
        <f>ROW()-ROW(BARANGMASUK!$A$3)</f>
        <v>144</v>
      </c>
      <c r="B147" s="1" t="s">
        <v>775</v>
      </c>
      <c r="C147" s="24">
        <v>45645</v>
      </c>
      <c r="D147" s="1" t="s">
        <v>25</v>
      </c>
      <c r="E147" s="15" t="s">
        <v>50</v>
      </c>
      <c r="F147" s="1" t="s">
        <v>27</v>
      </c>
      <c r="G147" s="32">
        <v>432000</v>
      </c>
      <c r="H147" s="1" t="s">
        <v>7</v>
      </c>
      <c r="I147" s="1">
        <v>8</v>
      </c>
    </row>
    <row r="148" spans="1:9" x14ac:dyDescent="0.35">
      <c r="A148" s="1">
        <f>ROW()-ROW(BARANGMASUK!$A$3)</f>
        <v>145</v>
      </c>
      <c r="B148" s="1" t="s">
        <v>779</v>
      </c>
      <c r="C148" s="24">
        <v>45638</v>
      </c>
      <c r="D148" s="1" t="s">
        <v>25</v>
      </c>
      <c r="E148" s="15" t="s">
        <v>50</v>
      </c>
      <c r="F148" s="1" t="s">
        <v>27</v>
      </c>
      <c r="G148" s="32">
        <v>220000</v>
      </c>
      <c r="H148" s="1" t="s">
        <v>7</v>
      </c>
      <c r="I148" s="1">
        <v>4</v>
      </c>
    </row>
    <row r="149" spans="1:9" x14ac:dyDescent="0.35">
      <c r="A149" s="1">
        <f>ROW()-ROW(BARANGMASUK!$A$3)</f>
        <v>146</v>
      </c>
      <c r="B149" s="1" t="s">
        <v>780</v>
      </c>
      <c r="C149" s="24">
        <v>45638</v>
      </c>
      <c r="D149" s="1" t="s">
        <v>25</v>
      </c>
      <c r="E149" s="15" t="s">
        <v>50</v>
      </c>
      <c r="F149" s="1" t="s">
        <v>27</v>
      </c>
      <c r="G149" s="32">
        <v>330000</v>
      </c>
      <c r="H149" s="1" t="s">
        <v>7</v>
      </c>
      <c r="I149" s="1">
        <v>6</v>
      </c>
    </row>
    <row r="150" spans="1:9" x14ac:dyDescent="0.35">
      <c r="A150" s="1">
        <f>ROW()-ROW(BARANGMASUK!$A$3)</f>
        <v>147</v>
      </c>
      <c r="B150" s="1" t="s">
        <v>301</v>
      </c>
      <c r="C150" s="24">
        <v>45327</v>
      </c>
      <c r="D150" s="1" t="s">
        <v>48</v>
      </c>
      <c r="E150" s="15" t="s">
        <v>49</v>
      </c>
      <c r="F150" s="1" t="s">
        <v>27</v>
      </c>
      <c r="H150" s="1" t="s">
        <v>7</v>
      </c>
      <c r="I150" s="1">
        <v>5</v>
      </c>
    </row>
    <row r="151" spans="1:9" x14ac:dyDescent="0.35">
      <c r="A151" s="1">
        <f>ROW()-ROW(BARANGMASUK!$A$3)</f>
        <v>148</v>
      </c>
      <c r="B151" s="1" t="s">
        <v>563</v>
      </c>
      <c r="C151" s="24">
        <v>45555</v>
      </c>
      <c r="D151" s="1" t="s">
        <v>560</v>
      </c>
      <c r="E151" s="15" t="s">
        <v>561</v>
      </c>
      <c r="F151" s="1" t="s">
        <v>562</v>
      </c>
      <c r="G151" s="32">
        <v>90000</v>
      </c>
      <c r="H151" s="1" t="s">
        <v>7</v>
      </c>
      <c r="I151" s="1">
        <v>3</v>
      </c>
    </row>
    <row r="152" spans="1:9" x14ac:dyDescent="0.35">
      <c r="A152" s="1">
        <f>ROW()-ROW(BARANGMASUK!$A$3)</f>
        <v>149</v>
      </c>
      <c r="B152" s="1" t="s">
        <v>267</v>
      </c>
      <c r="C152" s="24">
        <v>45325</v>
      </c>
      <c r="D152" s="1" t="s">
        <v>103</v>
      </c>
      <c r="E152" s="15" t="s">
        <v>104</v>
      </c>
      <c r="F152" s="1" t="s">
        <v>106</v>
      </c>
      <c r="H152" s="1" t="s">
        <v>7</v>
      </c>
      <c r="I152" s="1">
        <v>1</v>
      </c>
    </row>
    <row r="153" spans="1:9" x14ac:dyDescent="0.35">
      <c r="A153" s="1">
        <f>ROW()-ROW(BARANGMASUK!$A$3)</f>
        <v>150</v>
      </c>
      <c r="B153" s="1" t="s">
        <v>707</v>
      </c>
      <c r="C153" s="24">
        <v>45577</v>
      </c>
      <c r="D153" s="1" t="s">
        <v>638</v>
      </c>
      <c r="E153" s="15" t="s">
        <v>639</v>
      </c>
      <c r="F153" s="1" t="s">
        <v>562</v>
      </c>
      <c r="G153" s="32">
        <v>63000</v>
      </c>
      <c r="H153" s="1" t="s">
        <v>7</v>
      </c>
      <c r="I153" s="1">
        <v>6</v>
      </c>
    </row>
    <row r="154" spans="1:9" x14ac:dyDescent="0.35">
      <c r="A154" s="1">
        <f>ROW()-ROW(BARANGMASUK!$A$3)</f>
        <v>151</v>
      </c>
      <c r="B154" s="1" t="s">
        <v>754</v>
      </c>
      <c r="C154" s="24">
        <v>45609</v>
      </c>
      <c r="D154" s="1" t="s">
        <v>763</v>
      </c>
      <c r="E154" s="15" t="s">
        <v>764</v>
      </c>
      <c r="F154" s="1" t="s">
        <v>106</v>
      </c>
      <c r="G154" s="32">
        <v>60000</v>
      </c>
      <c r="H154" s="1" t="s">
        <v>7</v>
      </c>
      <c r="I154" s="1">
        <v>1</v>
      </c>
    </row>
    <row r="155" spans="1:9" x14ac:dyDescent="0.35">
      <c r="A155" s="1">
        <f>ROW()-ROW(BARANGMASUK!$A$3)</f>
        <v>152</v>
      </c>
      <c r="B155" s="1" t="s">
        <v>259</v>
      </c>
      <c r="C155" s="24">
        <v>45325</v>
      </c>
      <c r="D155" s="1" t="s">
        <v>198</v>
      </c>
      <c r="E155" s="15" t="s">
        <v>199</v>
      </c>
      <c r="F155" s="1" t="s">
        <v>106</v>
      </c>
      <c r="H155" s="1" t="s">
        <v>7</v>
      </c>
      <c r="I155" s="1">
        <v>1</v>
      </c>
    </row>
    <row r="156" spans="1:9" x14ac:dyDescent="0.35">
      <c r="A156" s="1">
        <f>ROW()-ROW(BARANGMASUK!$A$3)</f>
        <v>153</v>
      </c>
      <c r="B156" s="1" t="s">
        <v>326</v>
      </c>
      <c r="C156" s="24">
        <v>45370</v>
      </c>
      <c r="D156" s="1" t="s">
        <v>198</v>
      </c>
      <c r="E156" s="15" t="s">
        <v>199</v>
      </c>
      <c r="F156" s="1" t="s">
        <v>106</v>
      </c>
      <c r="H156" s="1" t="s">
        <v>7</v>
      </c>
      <c r="I156" s="1">
        <v>2</v>
      </c>
    </row>
    <row r="157" spans="1:9" x14ac:dyDescent="0.35">
      <c r="A157" s="1">
        <f>ROW()-ROW(BARANGMASUK!$A$3)</f>
        <v>154</v>
      </c>
      <c r="B157" s="1" t="s">
        <v>359</v>
      </c>
      <c r="C157" s="24">
        <v>45404</v>
      </c>
      <c r="D157" s="1" t="s">
        <v>343</v>
      </c>
      <c r="E157" s="15" t="s">
        <v>344</v>
      </c>
      <c r="F157" s="1" t="s">
        <v>30</v>
      </c>
      <c r="H157" s="1" t="s">
        <v>7</v>
      </c>
      <c r="I157" s="1">
        <v>1</v>
      </c>
    </row>
    <row r="158" spans="1:9" x14ac:dyDescent="0.35">
      <c r="A158" s="1">
        <f>ROW()-ROW(BARANGMASUK!$A$3)</f>
        <v>155</v>
      </c>
      <c r="B158" s="1" t="s">
        <v>280</v>
      </c>
      <c r="C158" s="24">
        <v>45325</v>
      </c>
      <c r="D158" s="1" t="s">
        <v>138</v>
      </c>
      <c r="E158" s="15" t="s">
        <v>139</v>
      </c>
      <c r="F158" s="1" t="s">
        <v>30</v>
      </c>
      <c r="H158" s="1" t="s">
        <v>7</v>
      </c>
      <c r="I158" s="1">
        <v>2</v>
      </c>
    </row>
    <row r="159" spans="1:9" x14ac:dyDescent="0.35">
      <c r="A159" s="1">
        <f>ROW()-ROW(BARANGMASUK!$A$3)</f>
        <v>156</v>
      </c>
      <c r="B159" s="1" t="s">
        <v>217</v>
      </c>
      <c r="C159" s="24">
        <v>45308</v>
      </c>
      <c r="D159" s="1" t="s">
        <v>42</v>
      </c>
      <c r="E159" s="15" t="s">
        <v>43</v>
      </c>
      <c r="F159" s="1" t="s">
        <v>30</v>
      </c>
      <c r="H159" s="1" t="s">
        <v>7</v>
      </c>
      <c r="I159" s="1">
        <v>2</v>
      </c>
    </row>
    <row r="160" spans="1:9" x14ac:dyDescent="0.35">
      <c r="A160" s="1">
        <f>ROW()-ROW(BARANGMASUK!$A$3)</f>
        <v>157</v>
      </c>
      <c r="B160" s="1" t="s">
        <v>527</v>
      </c>
      <c r="C160" s="24">
        <v>45489</v>
      </c>
      <c r="D160" s="1" t="s">
        <v>42</v>
      </c>
      <c r="E160" s="15" t="s">
        <v>43</v>
      </c>
      <c r="F160" s="1" t="s">
        <v>30</v>
      </c>
      <c r="G160" s="32">
        <v>30000</v>
      </c>
      <c r="H160" s="1" t="s">
        <v>7</v>
      </c>
      <c r="I160" s="1">
        <v>2</v>
      </c>
    </row>
    <row r="161" spans="1:9" x14ac:dyDescent="0.35">
      <c r="A161" s="1">
        <f>ROW()-ROW(BARANGMASUK!$A$3)</f>
        <v>158</v>
      </c>
      <c r="B161" s="1" t="s">
        <v>365</v>
      </c>
      <c r="C161" s="24">
        <v>45404</v>
      </c>
      <c r="D161" s="1" t="s">
        <v>353</v>
      </c>
      <c r="E161" s="15" t="s">
        <v>354</v>
      </c>
      <c r="F161" s="1" t="s">
        <v>30</v>
      </c>
      <c r="H161" s="1" t="s">
        <v>7</v>
      </c>
      <c r="I161" s="1">
        <v>2</v>
      </c>
    </row>
    <row r="162" spans="1:9" x14ac:dyDescent="0.35">
      <c r="A162" s="1">
        <f>ROW()-ROW(BARANGMASUK!$A$3)</f>
        <v>159</v>
      </c>
      <c r="B162" s="1" t="s">
        <v>704</v>
      </c>
      <c r="C162" s="24">
        <v>45577</v>
      </c>
      <c r="D162" s="1" t="s">
        <v>632</v>
      </c>
      <c r="E162" s="15" t="s">
        <v>633</v>
      </c>
      <c r="F162" s="1" t="s">
        <v>30</v>
      </c>
      <c r="G162" s="32">
        <v>18000</v>
      </c>
      <c r="H162" s="1" t="s">
        <v>7</v>
      </c>
      <c r="I162" s="1">
        <v>2</v>
      </c>
    </row>
    <row r="163" spans="1:9" x14ac:dyDescent="0.35">
      <c r="A163" s="1">
        <f>ROW()-ROW(BARANGMASUK!$A$3)</f>
        <v>160</v>
      </c>
      <c r="B163" s="1" t="s">
        <v>716</v>
      </c>
      <c r="C163" s="24">
        <v>45577</v>
      </c>
      <c r="D163" s="1" t="s">
        <v>653</v>
      </c>
      <c r="E163" s="15" t="s">
        <v>654</v>
      </c>
      <c r="F163" s="1" t="s">
        <v>30</v>
      </c>
      <c r="G163" s="32">
        <v>72000</v>
      </c>
      <c r="H163" s="1" t="s">
        <v>7</v>
      </c>
      <c r="I163" s="1">
        <v>4</v>
      </c>
    </row>
    <row r="164" spans="1:9" x14ac:dyDescent="0.35">
      <c r="A164" s="1">
        <f>ROW()-ROW(BARANGMASUK!$A$3)</f>
        <v>161</v>
      </c>
      <c r="B164" s="1" t="s">
        <v>770</v>
      </c>
      <c r="C164" s="24">
        <v>45645</v>
      </c>
      <c r="D164" s="1" t="s">
        <v>653</v>
      </c>
      <c r="E164" s="15" t="s">
        <v>654</v>
      </c>
      <c r="F164" s="1" t="s">
        <v>30</v>
      </c>
      <c r="G164" s="32">
        <v>30000</v>
      </c>
      <c r="H164" s="1" t="s">
        <v>7</v>
      </c>
      <c r="I164" s="1">
        <v>2</v>
      </c>
    </row>
    <row r="165" spans="1:9" x14ac:dyDescent="0.35">
      <c r="A165" s="1">
        <f>ROW()-ROW(BARANGMASUK!$A$3)</f>
        <v>162</v>
      </c>
      <c r="B165" s="1" t="s">
        <v>715</v>
      </c>
      <c r="C165" s="24">
        <v>45577</v>
      </c>
      <c r="D165" s="1" t="s">
        <v>651</v>
      </c>
      <c r="E165" s="15" t="s">
        <v>652</v>
      </c>
      <c r="F165" s="1" t="s">
        <v>30</v>
      </c>
      <c r="G165" s="32">
        <v>15000</v>
      </c>
      <c r="H165" s="1" t="s">
        <v>7</v>
      </c>
      <c r="I165" s="1">
        <v>2</v>
      </c>
    </row>
    <row r="166" spans="1:9" x14ac:dyDescent="0.35">
      <c r="A166" s="1">
        <f>ROW()-ROW(BARANGMASUK!$A$3)</f>
        <v>163</v>
      </c>
      <c r="B166" s="1" t="s">
        <v>717</v>
      </c>
      <c r="C166" s="24">
        <v>45577</v>
      </c>
      <c r="D166" s="1" t="s">
        <v>655</v>
      </c>
      <c r="E166" s="15" t="s">
        <v>656</v>
      </c>
      <c r="F166" s="1" t="s">
        <v>30</v>
      </c>
      <c r="G166" s="32">
        <v>23000</v>
      </c>
      <c r="H166" s="1" t="s">
        <v>7</v>
      </c>
      <c r="I166" s="1">
        <v>2</v>
      </c>
    </row>
    <row r="167" spans="1:9" x14ac:dyDescent="0.35">
      <c r="A167" s="1">
        <f>ROW()-ROW(BARANGMASUK!$A$3)</f>
        <v>164</v>
      </c>
      <c r="B167" s="1" t="s">
        <v>718</v>
      </c>
      <c r="C167" s="24">
        <v>45577</v>
      </c>
      <c r="D167" s="1" t="s">
        <v>657</v>
      </c>
      <c r="E167" s="15" t="s">
        <v>658</v>
      </c>
      <c r="F167" s="1" t="s">
        <v>30</v>
      </c>
      <c r="G167" s="32">
        <v>9500</v>
      </c>
      <c r="H167" s="1" t="s">
        <v>7</v>
      </c>
      <c r="I167" s="1">
        <v>1</v>
      </c>
    </row>
    <row r="168" spans="1:9" x14ac:dyDescent="0.35">
      <c r="A168" s="1">
        <f>ROW()-ROW(BARANGMASUK!$A$3)</f>
        <v>165</v>
      </c>
      <c r="B168" s="1" t="s">
        <v>253</v>
      </c>
      <c r="C168" s="24">
        <v>45325</v>
      </c>
      <c r="D168" s="1" t="s">
        <v>162</v>
      </c>
      <c r="E168" s="15" t="s">
        <v>163</v>
      </c>
      <c r="F168" s="1" t="s">
        <v>47</v>
      </c>
      <c r="H168" s="1" t="s">
        <v>7</v>
      </c>
      <c r="I168" s="1">
        <v>1</v>
      </c>
    </row>
    <row r="169" spans="1:9" x14ac:dyDescent="0.35">
      <c r="A169" s="1">
        <f>ROW()-ROW(BARANGMASUK!$A$3)</f>
        <v>166</v>
      </c>
      <c r="B169" s="1" t="s">
        <v>245</v>
      </c>
      <c r="C169" s="24">
        <v>45325</v>
      </c>
      <c r="D169" s="1" t="s">
        <v>178</v>
      </c>
      <c r="E169" s="15" t="s">
        <v>179</v>
      </c>
      <c r="F169" s="1" t="s">
        <v>47</v>
      </c>
      <c r="H169" s="1" t="s">
        <v>7</v>
      </c>
      <c r="I169" s="1">
        <v>1</v>
      </c>
    </row>
    <row r="170" spans="1:9" x14ac:dyDescent="0.35">
      <c r="A170" s="1">
        <f>ROW()-ROW(BARANGMASUK!$A$3)</f>
        <v>167</v>
      </c>
      <c r="B170" s="1" t="s">
        <v>212</v>
      </c>
      <c r="C170" s="24">
        <v>45299</v>
      </c>
      <c r="D170" s="1" t="s">
        <v>288</v>
      </c>
      <c r="E170" s="15" t="s">
        <v>289</v>
      </c>
      <c r="F170" s="1" t="s">
        <v>30</v>
      </c>
      <c r="H170" s="1" t="s">
        <v>7</v>
      </c>
      <c r="I170" s="1">
        <v>1</v>
      </c>
    </row>
    <row r="171" spans="1:9" x14ac:dyDescent="0.35">
      <c r="A171" s="1">
        <f>ROW()-ROW(BARANGMASUK!$A$3)</f>
        <v>168</v>
      </c>
      <c r="B171" s="1" t="s">
        <v>238</v>
      </c>
      <c r="C171" s="24">
        <v>45325</v>
      </c>
      <c r="D171" s="1" t="s">
        <v>192</v>
      </c>
      <c r="E171" s="15" t="s">
        <v>193</v>
      </c>
      <c r="F171" s="1" t="s">
        <v>30</v>
      </c>
      <c r="H171" s="1" t="s">
        <v>7</v>
      </c>
      <c r="I171" s="1">
        <v>1</v>
      </c>
    </row>
    <row r="172" spans="1:9" x14ac:dyDescent="0.35">
      <c r="A172" s="1">
        <f>ROW()-ROW(BARANGMASUK!$A$3)</f>
        <v>169</v>
      </c>
      <c r="B172" s="1" t="s">
        <v>243</v>
      </c>
      <c r="C172" s="24">
        <v>45325</v>
      </c>
      <c r="D172" s="1" t="s">
        <v>182</v>
      </c>
      <c r="E172" s="15" t="s">
        <v>183</v>
      </c>
      <c r="F172" s="1" t="s">
        <v>35</v>
      </c>
      <c r="H172" s="1" t="s">
        <v>7</v>
      </c>
      <c r="I172" s="1">
        <v>1</v>
      </c>
    </row>
    <row r="173" spans="1:9" x14ac:dyDescent="0.35">
      <c r="A173" s="1">
        <f>ROW()-ROW(BARANGMASUK!$A$3)</f>
        <v>170</v>
      </c>
      <c r="B173" s="1" t="s">
        <v>237</v>
      </c>
      <c r="C173" s="24">
        <v>45325</v>
      </c>
      <c r="D173" s="1" t="s">
        <v>194</v>
      </c>
      <c r="E173" s="15" t="s">
        <v>195</v>
      </c>
      <c r="F173" s="1" t="s">
        <v>30</v>
      </c>
      <c r="H173" s="1" t="s">
        <v>7</v>
      </c>
      <c r="I173" s="1">
        <v>1</v>
      </c>
    </row>
    <row r="174" spans="1:9" x14ac:dyDescent="0.35">
      <c r="A174" s="1">
        <f>ROW()-ROW(BARANGMASUK!$A$3)</f>
        <v>171</v>
      </c>
      <c r="B174" s="1" t="s">
        <v>514</v>
      </c>
      <c r="C174" s="24">
        <v>45414</v>
      </c>
      <c r="D174" s="1" t="s">
        <v>508</v>
      </c>
      <c r="E174" s="15" t="s">
        <v>509</v>
      </c>
      <c r="F174" s="1" t="s">
        <v>30</v>
      </c>
      <c r="G174" s="32">
        <v>1300000</v>
      </c>
      <c r="H174" s="1" t="s">
        <v>7</v>
      </c>
      <c r="I174" s="1">
        <v>2</v>
      </c>
    </row>
    <row r="175" spans="1:9" x14ac:dyDescent="0.35">
      <c r="A175" s="1">
        <f>ROW()-ROW(BARANGMASUK!$A$3)</f>
        <v>172</v>
      </c>
      <c r="B175" s="1" t="s">
        <v>368</v>
      </c>
      <c r="C175" s="24">
        <v>45404</v>
      </c>
      <c r="D175" s="1" t="s">
        <v>366</v>
      </c>
      <c r="E175" s="15" t="s">
        <v>367</v>
      </c>
      <c r="F175" s="1" t="s">
        <v>47</v>
      </c>
      <c r="H175" s="1" t="s">
        <v>7</v>
      </c>
      <c r="I175" s="1">
        <v>12</v>
      </c>
    </row>
    <row r="176" spans="1:9" x14ac:dyDescent="0.35">
      <c r="A176" s="1">
        <f>ROW()-ROW(BARANGMASUK!$A$3)</f>
        <v>173</v>
      </c>
      <c r="B176" s="1" t="s">
        <v>266</v>
      </c>
      <c r="C176" s="24">
        <v>45325</v>
      </c>
      <c r="D176" s="1" t="s">
        <v>101</v>
      </c>
      <c r="E176" s="15" t="s">
        <v>102</v>
      </c>
      <c r="F176" s="1" t="s">
        <v>47</v>
      </c>
      <c r="H176" s="1" t="s">
        <v>7</v>
      </c>
      <c r="I176" s="1">
        <v>6</v>
      </c>
    </row>
    <row r="177" spans="1:9" x14ac:dyDescent="0.35">
      <c r="A177" s="1">
        <f>ROW()-ROW(BARANGMASUK!$A$3)</f>
        <v>174</v>
      </c>
      <c r="B177" s="1" t="s">
        <v>355</v>
      </c>
      <c r="C177" s="24">
        <v>45404</v>
      </c>
      <c r="D177" s="1" t="s">
        <v>335</v>
      </c>
      <c r="E177" s="15" t="s">
        <v>336</v>
      </c>
      <c r="F177" s="1" t="s">
        <v>47</v>
      </c>
      <c r="H177" s="1" t="s">
        <v>7</v>
      </c>
      <c r="I177" s="1">
        <v>200</v>
      </c>
    </row>
    <row r="178" spans="1:9" x14ac:dyDescent="0.35">
      <c r="A178" s="1">
        <f>ROW()-ROW(BARANGMASUK!$A$3)</f>
        <v>175</v>
      </c>
      <c r="B178" s="1" t="s">
        <v>221</v>
      </c>
      <c r="C178" s="24">
        <v>45324</v>
      </c>
      <c r="D178" s="1" t="s">
        <v>45</v>
      </c>
      <c r="E178" s="15" t="s">
        <v>46</v>
      </c>
      <c r="F178" s="1" t="s">
        <v>47</v>
      </c>
      <c r="H178" s="1" t="s">
        <v>7</v>
      </c>
      <c r="I178" s="1">
        <v>500</v>
      </c>
    </row>
    <row r="179" spans="1:9" x14ac:dyDescent="0.35">
      <c r="A179" s="1">
        <f>ROW()-ROW(BARANGMASUK!$A$3)</f>
        <v>176</v>
      </c>
      <c r="B179" s="1" t="s">
        <v>732</v>
      </c>
      <c r="C179" s="24">
        <v>45577</v>
      </c>
      <c r="D179" s="1" t="s">
        <v>685</v>
      </c>
      <c r="E179" s="15" t="s">
        <v>686</v>
      </c>
      <c r="F179" s="1" t="s">
        <v>304</v>
      </c>
      <c r="G179" s="32">
        <v>82500</v>
      </c>
      <c r="H179" s="1" t="s">
        <v>7</v>
      </c>
      <c r="I179" s="1">
        <v>3</v>
      </c>
    </row>
    <row r="180" spans="1:9" x14ac:dyDescent="0.35">
      <c r="A180" s="1">
        <f>ROW()-ROW(BARANGMASUK!$A$3)</f>
        <v>177</v>
      </c>
      <c r="B180" s="1" t="s">
        <v>201</v>
      </c>
      <c r="C180" s="24">
        <v>45325</v>
      </c>
      <c r="D180" s="1" t="s">
        <v>87</v>
      </c>
      <c r="E180" s="15" t="s">
        <v>88</v>
      </c>
      <c r="F180" s="1" t="s">
        <v>47</v>
      </c>
      <c r="H180" s="1" t="s">
        <v>7</v>
      </c>
      <c r="I180" s="1">
        <v>50</v>
      </c>
    </row>
    <row r="181" spans="1:9" x14ac:dyDescent="0.35">
      <c r="A181" s="1">
        <f>ROW()-ROW(BARANGMASUK!$A$3)</f>
        <v>178</v>
      </c>
      <c r="B181" s="1" t="s">
        <v>380</v>
      </c>
      <c r="C181" s="24">
        <v>45362</v>
      </c>
      <c r="D181" s="1" t="s">
        <v>87</v>
      </c>
      <c r="E181" s="15" t="s">
        <v>88</v>
      </c>
      <c r="F181" s="1" t="s">
        <v>47</v>
      </c>
      <c r="H181" s="1" t="s">
        <v>7</v>
      </c>
      <c r="I181" s="1">
        <v>100</v>
      </c>
    </row>
    <row r="182" spans="1:9" x14ac:dyDescent="0.35">
      <c r="A182" s="1">
        <f>ROW()-ROW(BARANGMASUK!$A$3)</f>
        <v>179</v>
      </c>
      <c r="B182" s="1" t="s">
        <v>357</v>
      </c>
      <c r="C182" s="24">
        <v>45404</v>
      </c>
      <c r="D182" s="1" t="s">
        <v>339</v>
      </c>
      <c r="E182" s="15" t="s">
        <v>340</v>
      </c>
      <c r="F182" s="1" t="s">
        <v>30</v>
      </c>
      <c r="H182" s="1" t="s">
        <v>7</v>
      </c>
      <c r="I182" s="1">
        <v>24</v>
      </c>
    </row>
    <row r="183" spans="1:9" x14ac:dyDescent="0.35">
      <c r="A183" s="1">
        <f>ROW()-ROW(BARANGMASUK!$A$3)</f>
        <v>180</v>
      </c>
      <c r="B183" s="1" t="s">
        <v>263</v>
      </c>
      <c r="C183" s="24">
        <v>45325</v>
      </c>
      <c r="D183" s="1" t="s">
        <v>85</v>
      </c>
      <c r="E183" s="15" t="s">
        <v>86</v>
      </c>
      <c r="F183" s="1" t="s">
        <v>30</v>
      </c>
      <c r="H183" s="1" t="s">
        <v>7</v>
      </c>
      <c r="I183" s="1">
        <v>12</v>
      </c>
    </row>
    <row r="184" spans="1:9" x14ac:dyDescent="0.35">
      <c r="A184" s="1">
        <f>ROW()-ROW(BARANGMASUK!$A$3)</f>
        <v>181</v>
      </c>
      <c r="B184" s="1" t="s">
        <v>334</v>
      </c>
      <c r="C184" s="24">
        <v>45404</v>
      </c>
      <c r="D184" s="1" t="s">
        <v>85</v>
      </c>
      <c r="E184" s="15" t="s">
        <v>86</v>
      </c>
      <c r="F184" s="1" t="s">
        <v>30</v>
      </c>
      <c r="H184" s="1" t="s">
        <v>7</v>
      </c>
      <c r="I184" s="1">
        <v>4</v>
      </c>
    </row>
    <row r="185" spans="1:9" x14ac:dyDescent="0.35">
      <c r="A185" s="1">
        <f>ROW()-ROW(BARANGMASUK!$A$3)</f>
        <v>182</v>
      </c>
      <c r="B185" s="1" t="s">
        <v>773</v>
      </c>
      <c r="C185" s="24">
        <v>45645</v>
      </c>
      <c r="D185" s="1" t="s">
        <v>85</v>
      </c>
      <c r="E185" s="15" t="s">
        <v>86</v>
      </c>
      <c r="F185" s="1" t="s">
        <v>30</v>
      </c>
      <c r="G185" s="32">
        <v>70000</v>
      </c>
      <c r="H185" s="1" t="s">
        <v>7</v>
      </c>
      <c r="I185" s="1">
        <v>7</v>
      </c>
    </row>
    <row r="186" spans="1:9" x14ac:dyDescent="0.35">
      <c r="A186" s="1">
        <f>ROW()-ROW(BARANGMASUK!$A$3)</f>
        <v>183</v>
      </c>
      <c r="B186" s="1" t="s">
        <v>552</v>
      </c>
      <c r="C186" s="24">
        <v>45512</v>
      </c>
      <c r="D186" s="1" t="s">
        <v>549</v>
      </c>
      <c r="E186" s="15" t="s">
        <v>550</v>
      </c>
      <c r="F186" s="1" t="s">
        <v>30</v>
      </c>
      <c r="G186" s="32">
        <v>50000</v>
      </c>
      <c r="H186" s="1" t="s">
        <v>7</v>
      </c>
      <c r="I186" s="1">
        <v>1</v>
      </c>
    </row>
    <row r="187" spans="1:9" x14ac:dyDescent="0.35">
      <c r="A187" s="1">
        <f>ROW()-ROW(BARANGMASUK!$A$3)</f>
        <v>184</v>
      </c>
      <c r="B187" s="1" t="s">
        <v>594</v>
      </c>
      <c r="C187" s="24">
        <v>45577</v>
      </c>
      <c r="D187" s="1" t="s">
        <v>588</v>
      </c>
      <c r="E187" s="15" t="s">
        <v>589</v>
      </c>
      <c r="F187" s="1" t="s">
        <v>562</v>
      </c>
      <c r="G187" s="32">
        <v>72100</v>
      </c>
      <c r="H187" s="1" t="s">
        <v>7</v>
      </c>
      <c r="I187" s="1">
        <v>7</v>
      </c>
    </row>
    <row r="188" spans="1:9" x14ac:dyDescent="0.35">
      <c r="A188" s="1">
        <f>ROW()-ROW(BARANGMASUK!$A$3)</f>
        <v>185</v>
      </c>
      <c r="B188" s="1" t="s">
        <v>254</v>
      </c>
      <c r="C188" s="24">
        <v>45325</v>
      </c>
      <c r="D188" s="1" t="s">
        <v>160</v>
      </c>
      <c r="E188" s="15" t="s">
        <v>161</v>
      </c>
      <c r="F188" s="1" t="s">
        <v>30</v>
      </c>
      <c r="H188" s="1" t="s">
        <v>7</v>
      </c>
      <c r="I188" s="1">
        <v>2</v>
      </c>
    </row>
    <row r="189" spans="1:9" x14ac:dyDescent="0.35">
      <c r="A189" s="1">
        <f>ROW()-ROW(BARANGMASUK!$A$3)</f>
        <v>186</v>
      </c>
      <c r="B189" s="1" t="s">
        <v>688</v>
      </c>
      <c r="C189" s="24">
        <v>45577</v>
      </c>
      <c r="D189" s="1" t="s">
        <v>602</v>
      </c>
      <c r="E189" s="15" t="s">
        <v>603</v>
      </c>
      <c r="F189" s="1" t="s">
        <v>30</v>
      </c>
      <c r="G189" s="32">
        <v>31000</v>
      </c>
      <c r="H189" s="1" t="s">
        <v>7</v>
      </c>
      <c r="I189" s="1">
        <v>1</v>
      </c>
    </row>
    <row r="190" spans="1:9" x14ac:dyDescent="0.35">
      <c r="A190" s="1">
        <f>ROW()-ROW(BARANGMASUK!$A$3)</f>
        <v>187</v>
      </c>
      <c r="B190" s="1" t="s">
        <v>771</v>
      </c>
      <c r="C190" s="24">
        <v>45645</v>
      </c>
      <c r="D190" s="1" t="s">
        <v>602</v>
      </c>
      <c r="E190" s="15" t="s">
        <v>603</v>
      </c>
      <c r="F190" s="1" t="s">
        <v>30</v>
      </c>
      <c r="G190" s="32">
        <v>70000</v>
      </c>
      <c r="H190" s="1" t="s">
        <v>7</v>
      </c>
      <c r="I190" s="1">
        <v>2</v>
      </c>
    </row>
    <row r="191" spans="1:9" x14ac:dyDescent="0.35">
      <c r="A191" s="1">
        <f>ROW()-ROW(BARANGMASUK!$A$3)</f>
        <v>188</v>
      </c>
      <c r="B191" s="1" t="s">
        <v>687</v>
      </c>
      <c r="C191" s="24">
        <v>45577</v>
      </c>
      <c r="D191" s="1" t="s">
        <v>600</v>
      </c>
      <c r="E191" s="15" t="s">
        <v>601</v>
      </c>
      <c r="F191" s="1" t="s">
        <v>30</v>
      </c>
      <c r="G191" s="32">
        <v>31000</v>
      </c>
      <c r="H191" s="1" t="s">
        <v>7</v>
      </c>
      <c r="I191" s="1">
        <v>1</v>
      </c>
    </row>
    <row r="192" spans="1:9" x14ac:dyDescent="0.35">
      <c r="A192" s="1">
        <f>ROW()-ROW(BARANGMASUK!$A$3)</f>
        <v>189</v>
      </c>
      <c r="B192" s="1" t="s">
        <v>689</v>
      </c>
      <c r="C192" s="24">
        <v>45577</v>
      </c>
      <c r="D192" s="1" t="s">
        <v>604</v>
      </c>
      <c r="E192" s="15" t="s">
        <v>605</v>
      </c>
      <c r="F192" s="1" t="s">
        <v>30</v>
      </c>
      <c r="G192" s="32">
        <v>31000</v>
      </c>
      <c r="H192" s="1" t="s">
        <v>7</v>
      </c>
      <c r="I192" s="1">
        <v>1</v>
      </c>
    </row>
    <row r="193" spans="1:9" x14ac:dyDescent="0.35">
      <c r="A193" s="1">
        <f>ROW()-ROW(BARANGMASUK!$A$3)</f>
        <v>190</v>
      </c>
      <c r="B193" s="1" t="s">
        <v>690</v>
      </c>
      <c r="C193" s="24">
        <v>45577</v>
      </c>
      <c r="D193" s="1" t="s">
        <v>606</v>
      </c>
      <c r="E193" s="15" t="s">
        <v>607</v>
      </c>
      <c r="F193" s="1" t="s">
        <v>30</v>
      </c>
      <c r="G193" s="32">
        <v>31000</v>
      </c>
      <c r="H193" s="1" t="s">
        <v>7</v>
      </c>
      <c r="I193" s="1">
        <v>1</v>
      </c>
    </row>
    <row r="194" spans="1:9" x14ac:dyDescent="0.35">
      <c r="A194" s="1">
        <f>ROW()-ROW(BARANGMASUK!$A$3)</f>
        <v>191</v>
      </c>
      <c r="B194" s="1" t="s">
        <v>723</v>
      </c>
      <c r="C194" s="24">
        <v>45577</v>
      </c>
      <c r="D194" s="1" t="s">
        <v>667</v>
      </c>
      <c r="E194" s="15" t="s">
        <v>668</v>
      </c>
      <c r="F194" s="1" t="s">
        <v>41</v>
      </c>
      <c r="G194" s="32">
        <v>16500</v>
      </c>
      <c r="H194" s="1" t="s">
        <v>7</v>
      </c>
      <c r="I194" s="1">
        <v>1</v>
      </c>
    </row>
    <row r="195" spans="1:9" x14ac:dyDescent="0.35">
      <c r="A195" s="1">
        <f>ROW()-ROW(BARANGMASUK!$A$3)</f>
        <v>192</v>
      </c>
      <c r="B195" s="1" t="s">
        <v>210</v>
      </c>
      <c r="C195" s="24">
        <v>45299</v>
      </c>
      <c r="D195" s="1" t="s">
        <v>131</v>
      </c>
      <c r="E195" s="15" t="s">
        <v>282</v>
      </c>
      <c r="F195" s="1" t="s">
        <v>30</v>
      </c>
      <c r="H195" s="1" t="s">
        <v>7</v>
      </c>
      <c r="I195" s="1">
        <v>12</v>
      </c>
    </row>
    <row r="196" spans="1:9" x14ac:dyDescent="0.35">
      <c r="A196" s="1">
        <f>ROW()-ROW(BARANGMASUK!$A$3)</f>
        <v>193</v>
      </c>
      <c r="B196" s="1" t="s">
        <v>203</v>
      </c>
      <c r="C196" s="24">
        <v>45325</v>
      </c>
      <c r="D196" s="1" t="s">
        <v>131</v>
      </c>
      <c r="E196" s="15" t="s">
        <v>282</v>
      </c>
      <c r="F196" s="1" t="s">
        <v>30</v>
      </c>
      <c r="H196" s="1" t="s">
        <v>7</v>
      </c>
      <c r="I196" s="1">
        <v>12</v>
      </c>
    </row>
    <row r="197" spans="1:9" x14ac:dyDescent="0.35">
      <c r="A197" s="1">
        <f>ROW()-ROW(BARANGMASUK!$A$3)</f>
        <v>194</v>
      </c>
      <c r="B197" s="1" t="s">
        <v>250</v>
      </c>
      <c r="C197" s="24">
        <v>45325</v>
      </c>
      <c r="D197" s="1" t="s">
        <v>168</v>
      </c>
      <c r="E197" s="15" t="s">
        <v>169</v>
      </c>
      <c r="F197" s="1" t="s">
        <v>30</v>
      </c>
      <c r="H197" s="1" t="s">
        <v>7</v>
      </c>
      <c r="I197" s="1">
        <v>1</v>
      </c>
    </row>
    <row r="198" spans="1:9" x14ac:dyDescent="0.35">
      <c r="A198" s="1">
        <f>ROW()-ROW(BARANGMASUK!$A$3)</f>
        <v>195</v>
      </c>
      <c r="B198" s="1" t="s">
        <v>247</v>
      </c>
      <c r="C198" s="24">
        <v>45325</v>
      </c>
      <c r="D198" s="1" t="s">
        <v>174</v>
      </c>
      <c r="E198" s="15" t="s">
        <v>175</v>
      </c>
      <c r="F198" s="1" t="s">
        <v>30</v>
      </c>
      <c r="H198" s="1" t="s">
        <v>7</v>
      </c>
      <c r="I198" s="1">
        <v>2</v>
      </c>
    </row>
    <row r="199" spans="1:9" x14ac:dyDescent="0.35">
      <c r="A199" s="1">
        <f>ROW()-ROW(BARANGMASUK!$A$3)</f>
        <v>196</v>
      </c>
      <c r="B199" s="1" t="s">
        <v>256</v>
      </c>
      <c r="C199" s="24">
        <v>45325</v>
      </c>
      <c r="D199" s="1" t="s">
        <v>156</v>
      </c>
      <c r="E199" s="15" t="s">
        <v>157</v>
      </c>
      <c r="F199" s="1" t="s">
        <v>30</v>
      </c>
      <c r="H199" s="1" t="s">
        <v>7</v>
      </c>
      <c r="I199" s="1">
        <v>2</v>
      </c>
    </row>
    <row r="200" spans="1:9" x14ac:dyDescent="0.35">
      <c r="A200" s="1">
        <f>ROW()-ROW(BARANGMASUK!$A$3)</f>
        <v>197</v>
      </c>
      <c r="B200" s="1" t="s">
        <v>722</v>
      </c>
      <c r="C200" s="24">
        <v>45577</v>
      </c>
      <c r="D200" s="1" t="s">
        <v>665</v>
      </c>
      <c r="E200" s="15" t="s">
        <v>666</v>
      </c>
      <c r="F200" s="1" t="s">
        <v>41</v>
      </c>
      <c r="G200" s="32">
        <v>29000</v>
      </c>
      <c r="H200" s="1" t="s">
        <v>7</v>
      </c>
      <c r="I200" s="1">
        <v>1</v>
      </c>
    </row>
    <row r="201" spans="1:9" x14ac:dyDescent="0.35">
      <c r="A201" s="1">
        <f>ROW()-ROW(BARANGMASUK!$A$3)</f>
        <v>198</v>
      </c>
      <c r="B201" s="1" t="s">
        <v>277</v>
      </c>
      <c r="C201" s="24">
        <v>45325</v>
      </c>
      <c r="D201" s="1" t="s">
        <v>130</v>
      </c>
      <c r="E201" s="15" t="s">
        <v>271</v>
      </c>
      <c r="F201" s="1" t="s">
        <v>506</v>
      </c>
      <c r="H201" s="1" t="s">
        <v>7</v>
      </c>
      <c r="I201" s="1">
        <v>1</v>
      </c>
    </row>
    <row r="202" spans="1:9" x14ac:dyDescent="0.35">
      <c r="A202" s="1">
        <f>ROW()-ROW(BARANGMASUK!$A$3)</f>
        <v>199</v>
      </c>
      <c r="B202" s="1" t="s">
        <v>272</v>
      </c>
      <c r="C202" s="24">
        <v>45325</v>
      </c>
      <c r="D202" s="1" t="s">
        <v>119</v>
      </c>
      <c r="E202" s="15" t="s">
        <v>120</v>
      </c>
      <c r="F202" s="1" t="s">
        <v>30</v>
      </c>
      <c r="H202" s="1" t="s">
        <v>7</v>
      </c>
      <c r="I202" s="1">
        <v>3</v>
      </c>
    </row>
    <row r="203" spans="1:9" x14ac:dyDescent="0.35">
      <c r="A203" s="1">
        <f>ROW()-ROW(BARANGMASUK!$A$3)</f>
        <v>200</v>
      </c>
      <c r="B203" s="1" t="s">
        <v>735</v>
      </c>
      <c r="C203" s="24">
        <v>45577</v>
      </c>
      <c r="D203" s="1" t="s">
        <v>119</v>
      </c>
      <c r="E203" s="15" t="s">
        <v>120</v>
      </c>
      <c r="F203" s="1" t="s">
        <v>521</v>
      </c>
      <c r="G203" s="32">
        <v>30000</v>
      </c>
      <c r="H203" s="1" t="s">
        <v>7</v>
      </c>
      <c r="I203" s="1">
        <v>3</v>
      </c>
    </row>
    <row r="204" spans="1:9" x14ac:dyDescent="0.35">
      <c r="A204" s="1">
        <f>ROW()-ROW(BARANGMASUK!$A$3)</f>
        <v>201</v>
      </c>
      <c r="B204" s="1" t="s">
        <v>273</v>
      </c>
      <c r="C204" s="24">
        <v>45325</v>
      </c>
      <c r="D204" s="1" t="s">
        <v>122</v>
      </c>
      <c r="E204" s="15" t="s">
        <v>123</v>
      </c>
      <c r="F204" s="1" t="s">
        <v>30</v>
      </c>
      <c r="H204" s="1" t="s">
        <v>7</v>
      </c>
      <c r="I204" s="1">
        <v>4</v>
      </c>
    </row>
    <row r="205" spans="1:9" x14ac:dyDescent="0.35">
      <c r="A205" s="1">
        <f>ROW()-ROW(BARANGMASUK!$A$3)</f>
        <v>202</v>
      </c>
      <c r="B205" s="1" t="s">
        <v>333</v>
      </c>
      <c r="C205" s="24">
        <v>45353</v>
      </c>
      <c r="D205" s="1" t="s">
        <v>331</v>
      </c>
      <c r="E205" s="15" t="s">
        <v>332</v>
      </c>
      <c r="F205" s="1" t="s">
        <v>30</v>
      </c>
      <c r="H205" s="1" t="s">
        <v>7</v>
      </c>
      <c r="I205" s="1">
        <v>36</v>
      </c>
    </row>
    <row r="206" spans="1:9" x14ac:dyDescent="0.35">
      <c r="A206" s="1">
        <f>ROW()-ROW(BARANGMASUK!$A$3)</f>
        <v>203</v>
      </c>
      <c r="B206" s="1" t="s">
        <v>330</v>
      </c>
      <c r="C206" s="24">
        <v>45370</v>
      </c>
      <c r="D206" s="1" t="s">
        <v>327</v>
      </c>
      <c r="E206" s="15" t="s">
        <v>328</v>
      </c>
      <c r="F206" s="1" t="s">
        <v>47</v>
      </c>
      <c r="H206" s="1" t="s">
        <v>7</v>
      </c>
      <c r="I206" s="1">
        <v>10</v>
      </c>
    </row>
    <row r="207" spans="1:9" x14ac:dyDescent="0.35">
      <c r="A207" s="1">
        <f>ROW()-ROW(BARANGMASUK!$A$3)</f>
        <v>204</v>
      </c>
      <c r="B207" s="1" t="s">
        <v>381</v>
      </c>
      <c r="C207" s="24">
        <v>45376</v>
      </c>
      <c r="D207" s="1" t="s">
        <v>327</v>
      </c>
      <c r="E207" s="15" t="s">
        <v>328</v>
      </c>
      <c r="F207" s="1" t="s">
        <v>47</v>
      </c>
      <c r="H207" s="1" t="s">
        <v>7</v>
      </c>
      <c r="I207" s="1">
        <v>25</v>
      </c>
    </row>
    <row r="208" spans="1:9" x14ac:dyDescent="0.35">
      <c r="A208" s="1">
        <f>ROW()-ROW(BARANGMASUK!$A$3)</f>
        <v>205</v>
      </c>
      <c r="B208" s="1" t="s">
        <v>382</v>
      </c>
      <c r="C208" s="24">
        <v>45383</v>
      </c>
      <c r="D208" s="1" t="s">
        <v>327</v>
      </c>
      <c r="E208" s="15" t="s">
        <v>328</v>
      </c>
      <c r="F208" s="1" t="s">
        <v>47</v>
      </c>
      <c r="H208" s="1" t="s">
        <v>7</v>
      </c>
      <c r="I208" s="1">
        <v>10</v>
      </c>
    </row>
    <row r="209" spans="1:9" x14ac:dyDescent="0.35">
      <c r="A209" s="1">
        <f>ROW()-ROW(BARANGMASUK!$A$3)</f>
        <v>206</v>
      </c>
      <c r="B209" s="1" t="s">
        <v>524</v>
      </c>
      <c r="C209" s="24">
        <v>45491</v>
      </c>
      <c r="D209" s="1" t="s">
        <v>525</v>
      </c>
      <c r="E209" s="15" t="s">
        <v>526</v>
      </c>
      <c r="F209" s="1" t="s">
        <v>30</v>
      </c>
      <c r="G209" s="32">
        <v>860000</v>
      </c>
      <c r="H209" s="1" t="s">
        <v>7</v>
      </c>
      <c r="I209" s="1">
        <v>2</v>
      </c>
    </row>
    <row r="210" spans="1:9" x14ac:dyDescent="0.35">
      <c r="A210" s="1">
        <f>ROW()-ROW(BARANGMASUK!$A$3)</f>
        <v>207</v>
      </c>
      <c r="B210" s="1" t="s">
        <v>241</v>
      </c>
      <c r="C210" s="24">
        <v>45325</v>
      </c>
      <c r="D210" s="1" t="s">
        <v>186</v>
      </c>
      <c r="E210" s="15" t="s">
        <v>187</v>
      </c>
      <c r="F210" s="1" t="s">
        <v>30</v>
      </c>
      <c r="H210" s="1" t="s">
        <v>7</v>
      </c>
      <c r="I210" s="1">
        <v>1</v>
      </c>
    </row>
    <row r="211" spans="1:9" x14ac:dyDescent="0.35">
      <c r="A211" s="1">
        <f>ROW()-ROW(BARANGMASUK!$A$3)</f>
        <v>208</v>
      </c>
      <c r="B211" s="1" t="s">
        <v>275</v>
      </c>
      <c r="C211" s="24">
        <v>45325</v>
      </c>
      <c r="D211" s="1" t="s">
        <v>126</v>
      </c>
      <c r="E211" s="15" t="s">
        <v>127</v>
      </c>
      <c r="F211" s="1" t="s">
        <v>30</v>
      </c>
      <c r="H211" s="1" t="s">
        <v>7</v>
      </c>
      <c r="I211" s="1">
        <v>1</v>
      </c>
    </row>
    <row r="212" spans="1:9" x14ac:dyDescent="0.35">
      <c r="A212" s="1">
        <f>ROW()-ROW(BARANGMASUK!$A$3)</f>
        <v>209</v>
      </c>
      <c r="B212" s="1" t="s">
        <v>404</v>
      </c>
      <c r="C212" s="24">
        <v>45452</v>
      </c>
      <c r="D212" s="1" t="s">
        <v>394</v>
      </c>
      <c r="E212" s="15" t="s">
        <v>395</v>
      </c>
      <c r="F212" s="1" t="s">
        <v>106</v>
      </c>
      <c r="G212" s="32">
        <v>52500</v>
      </c>
      <c r="H212" s="1" t="s">
        <v>7</v>
      </c>
      <c r="I212" s="1">
        <v>5</v>
      </c>
    </row>
    <row r="213" spans="1:9" x14ac:dyDescent="0.35">
      <c r="A213" s="1">
        <f>ROW()-ROW(BARANGMASUK!$A$3)</f>
        <v>210</v>
      </c>
      <c r="B213" s="1" t="s">
        <v>555</v>
      </c>
      <c r="C213" s="24">
        <v>45526</v>
      </c>
      <c r="D213" s="1" t="s">
        <v>394</v>
      </c>
      <c r="E213" s="15" t="s">
        <v>395</v>
      </c>
      <c r="F213" s="1" t="s">
        <v>106</v>
      </c>
      <c r="G213" s="32">
        <v>12000</v>
      </c>
      <c r="H213" s="1" t="s">
        <v>7</v>
      </c>
      <c r="I213" s="1">
        <v>3</v>
      </c>
    </row>
    <row r="214" spans="1:9" x14ac:dyDescent="0.35">
      <c r="A214" s="1">
        <f>ROW()-ROW(BARANGMASUK!$A$3)</f>
        <v>211</v>
      </c>
      <c r="B214" s="1" t="s">
        <v>703</v>
      </c>
      <c r="C214" s="24">
        <v>45577</v>
      </c>
      <c r="D214" s="1" t="s">
        <v>630</v>
      </c>
      <c r="E214" s="15" t="s">
        <v>631</v>
      </c>
      <c r="F214" s="1" t="s">
        <v>41</v>
      </c>
      <c r="G214" s="32">
        <v>56000</v>
      </c>
      <c r="H214" s="1" t="s">
        <v>7</v>
      </c>
      <c r="I214" s="1">
        <v>2</v>
      </c>
    </row>
    <row r="215" spans="1:9" x14ac:dyDescent="0.35">
      <c r="A215" s="1">
        <f>ROW()-ROW(BARANGMASUK!$A$3)</f>
        <v>212</v>
      </c>
      <c r="B215" s="1" t="s">
        <v>711</v>
      </c>
      <c r="C215" s="24">
        <v>45577</v>
      </c>
      <c r="D215" s="1" t="s">
        <v>647</v>
      </c>
      <c r="E215" s="15" t="s">
        <v>648</v>
      </c>
      <c r="F215" s="1" t="s">
        <v>41</v>
      </c>
      <c r="G215" s="32">
        <v>41000</v>
      </c>
      <c r="H215" s="1" t="s">
        <v>7</v>
      </c>
      <c r="I215" s="1">
        <v>1</v>
      </c>
    </row>
    <row r="216" spans="1:9" x14ac:dyDescent="0.35">
      <c r="A216" s="1">
        <f>ROW()-ROW(BARANGMASUK!$A$3)</f>
        <v>213</v>
      </c>
      <c r="B216" s="1" t="s">
        <v>729</v>
      </c>
      <c r="C216" s="24">
        <v>45577</v>
      </c>
      <c r="D216" s="1" t="s">
        <v>679</v>
      </c>
      <c r="E216" s="15" t="s">
        <v>680</v>
      </c>
      <c r="F216" s="1" t="s">
        <v>41</v>
      </c>
      <c r="G216" s="32">
        <v>49000</v>
      </c>
      <c r="H216" s="1" t="s">
        <v>7</v>
      </c>
      <c r="I216" s="1">
        <v>1</v>
      </c>
    </row>
    <row r="217" spans="1:9" x14ac:dyDescent="0.35">
      <c r="A217" s="1">
        <f>ROW()-ROW(BARANGMASUK!$A$3)</f>
        <v>214</v>
      </c>
      <c r="B217" s="1" t="s">
        <v>249</v>
      </c>
      <c r="C217" s="24">
        <v>45325</v>
      </c>
      <c r="D217" s="1" t="s">
        <v>170</v>
      </c>
      <c r="E217" s="15" t="s">
        <v>171</v>
      </c>
      <c r="F217" s="1" t="s">
        <v>30</v>
      </c>
      <c r="H217" s="1" t="s">
        <v>7</v>
      </c>
      <c r="I217" s="1">
        <v>1</v>
      </c>
    </row>
    <row r="218" spans="1:9" x14ac:dyDescent="0.35">
      <c r="A218" s="1">
        <f>ROW()-ROW(BARANGMASUK!$A$3)</f>
        <v>215</v>
      </c>
      <c r="B218" s="1" t="s">
        <v>257</v>
      </c>
      <c r="C218" s="24">
        <v>45325</v>
      </c>
      <c r="D218" s="1" t="s">
        <v>154</v>
      </c>
      <c r="E218" s="15" t="s">
        <v>155</v>
      </c>
      <c r="F218" s="1" t="s">
        <v>30</v>
      </c>
      <c r="H218" s="1" t="s">
        <v>7</v>
      </c>
      <c r="I218" s="1">
        <v>1</v>
      </c>
    </row>
    <row r="219" spans="1:9" x14ac:dyDescent="0.35">
      <c r="A219" s="1">
        <f>ROW()-ROW(BARANGMASUK!$A$3)</f>
        <v>216</v>
      </c>
      <c r="B219" s="1" t="s">
        <v>258</v>
      </c>
      <c r="C219" s="24">
        <v>45325</v>
      </c>
      <c r="D219" s="1" t="s">
        <v>152</v>
      </c>
      <c r="E219" s="15" t="s">
        <v>153</v>
      </c>
      <c r="F219" s="1" t="s">
        <v>30</v>
      </c>
      <c r="H219" s="1" t="s">
        <v>7</v>
      </c>
      <c r="I219" s="1">
        <v>1</v>
      </c>
    </row>
    <row r="220" spans="1:9" x14ac:dyDescent="0.35">
      <c r="A220" s="1">
        <f>ROW()-ROW(BARANGMASUK!$A$3)</f>
        <v>217</v>
      </c>
      <c r="B220" s="1" t="s">
        <v>252</v>
      </c>
      <c r="C220" s="24">
        <v>45325</v>
      </c>
      <c r="D220" s="1" t="s">
        <v>164</v>
      </c>
      <c r="E220" s="15" t="s">
        <v>165</v>
      </c>
      <c r="F220" s="1" t="s">
        <v>30</v>
      </c>
      <c r="H220" s="1" t="s">
        <v>7</v>
      </c>
      <c r="I220" s="1">
        <v>2</v>
      </c>
    </row>
    <row r="221" spans="1:9" x14ac:dyDescent="0.35">
      <c r="A221" s="1">
        <f>ROW()-ROW(BARANGMASUK!$A$3)</f>
        <v>218</v>
      </c>
      <c r="B221" s="1" t="s">
        <v>797</v>
      </c>
      <c r="C221" s="24">
        <v>45630</v>
      </c>
      <c r="D221" s="1" t="s">
        <v>792</v>
      </c>
      <c r="E221" s="15" t="s">
        <v>793</v>
      </c>
      <c r="F221" s="1" t="s">
        <v>30</v>
      </c>
      <c r="G221" s="32">
        <v>60000</v>
      </c>
      <c r="H221" s="1" t="s">
        <v>7</v>
      </c>
      <c r="I221" s="1">
        <v>1</v>
      </c>
    </row>
    <row r="222" spans="1:9" x14ac:dyDescent="0.35">
      <c r="A222" s="1">
        <f>ROW()-ROW(BARANGMASUK!$A$3)</f>
        <v>219</v>
      </c>
      <c r="B222" s="1" t="s">
        <v>325</v>
      </c>
      <c r="C222" s="24">
        <v>45358</v>
      </c>
      <c r="D222" s="1" t="s">
        <v>323</v>
      </c>
      <c r="E222" s="15" t="s">
        <v>324</v>
      </c>
      <c r="F222" s="1" t="s">
        <v>30</v>
      </c>
      <c r="H222" s="1" t="s">
        <v>7</v>
      </c>
      <c r="I222" s="1">
        <v>2</v>
      </c>
    </row>
    <row r="223" spans="1:9" x14ac:dyDescent="0.35">
      <c r="A223" s="1">
        <f>ROW()-ROW(BARANGMASUK!$A$3)</f>
        <v>220</v>
      </c>
      <c r="B223" s="1" t="s">
        <v>495</v>
      </c>
      <c r="C223" s="24">
        <v>45469</v>
      </c>
      <c r="D223" s="1" t="s">
        <v>464</v>
      </c>
      <c r="E223" s="15" t="s">
        <v>465</v>
      </c>
      <c r="F223" s="1" t="s">
        <v>30</v>
      </c>
      <c r="G223" s="32">
        <v>49000</v>
      </c>
      <c r="H223" s="1" t="s">
        <v>7</v>
      </c>
      <c r="I223" s="1">
        <v>7</v>
      </c>
    </row>
    <row r="224" spans="1:9" x14ac:dyDescent="0.35">
      <c r="A224" s="1">
        <f>ROW()-ROW(BARANGMASUK!$A$3)</f>
        <v>221</v>
      </c>
      <c r="B224" s="1" t="s">
        <v>208</v>
      </c>
      <c r="C224" s="24">
        <v>45299</v>
      </c>
      <c r="D224" s="1" t="s">
        <v>283</v>
      </c>
      <c r="E224" s="15" t="s">
        <v>284</v>
      </c>
      <c r="F224" s="1" t="s">
        <v>30</v>
      </c>
      <c r="H224" s="1" t="s">
        <v>7</v>
      </c>
      <c r="I224" s="1">
        <v>12</v>
      </c>
    </row>
    <row r="225" spans="1:9" x14ac:dyDescent="0.35">
      <c r="A225" s="1">
        <f>ROW()-ROW(BARANGMASUK!$A$3)</f>
        <v>222</v>
      </c>
      <c r="B225" s="1" t="s">
        <v>531</v>
      </c>
      <c r="C225" s="24">
        <v>45496</v>
      </c>
      <c r="D225" s="1" t="s">
        <v>528</v>
      </c>
      <c r="E225" s="15" t="s">
        <v>529</v>
      </c>
      <c r="F225" s="1" t="s">
        <v>30</v>
      </c>
      <c r="G225" s="32">
        <v>92000</v>
      </c>
      <c r="H225" s="1" t="s">
        <v>7</v>
      </c>
      <c r="I225" s="1">
        <v>4</v>
      </c>
    </row>
    <row r="226" spans="1:9" x14ac:dyDescent="0.35">
      <c r="A226" s="1">
        <f>ROW()-ROW(BARANGMASUK!$A$3)</f>
        <v>223</v>
      </c>
      <c r="B226" s="1" t="s">
        <v>244</v>
      </c>
      <c r="C226" s="24">
        <v>45325</v>
      </c>
      <c r="D226" s="1" t="s">
        <v>180</v>
      </c>
      <c r="E226" s="15" t="s">
        <v>181</v>
      </c>
      <c r="F226" s="1" t="s">
        <v>41</v>
      </c>
      <c r="H226" s="1" t="s">
        <v>7</v>
      </c>
      <c r="I226" s="1">
        <v>1</v>
      </c>
    </row>
    <row r="227" spans="1:9" x14ac:dyDescent="0.35">
      <c r="A227" s="1">
        <f>ROW()-ROW(BARANGMASUK!$A$3)</f>
        <v>224</v>
      </c>
      <c r="B227" s="1" t="s">
        <v>248</v>
      </c>
      <c r="C227" s="24">
        <v>45325</v>
      </c>
      <c r="D227" s="1" t="s">
        <v>172</v>
      </c>
      <c r="E227" s="15" t="s">
        <v>173</v>
      </c>
      <c r="F227" s="1" t="s">
        <v>30</v>
      </c>
      <c r="H227" s="1" t="s">
        <v>7</v>
      </c>
      <c r="I227" s="1">
        <v>1</v>
      </c>
    </row>
    <row r="228" spans="1:9" x14ac:dyDescent="0.35">
      <c r="A228" s="1">
        <f>ROW()-ROW(BARANGMASUK!$A$3)</f>
        <v>225</v>
      </c>
      <c r="B228" s="1" t="s">
        <v>251</v>
      </c>
      <c r="C228" s="24">
        <v>45325</v>
      </c>
      <c r="D228" s="1" t="s">
        <v>166</v>
      </c>
      <c r="E228" s="15" t="s">
        <v>167</v>
      </c>
      <c r="F228" s="1" t="s">
        <v>30</v>
      </c>
      <c r="H228" s="1" t="s">
        <v>7</v>
      </c>
      <c r="I228" s="1">
        <v>1</v>
      </c>
    </row>
    <row r="229" spans="1:9" x14ac:dyDescent="0.35">
      <c r="A229" s="1">
        <f>ROW()-ROW(BARANGMASUK!$A$3)</f>
        <v>226</v>
      </c>
      <c r="B229" s="1" t="s">
        <v>727</v>
      </c>
      <c r="C229" s="24">
        <v>45577</v>
      </c>
      <c r="D229" s="1" t="s">
        <v>675</v>
      </c>
      <c r="E229" s="15" t="s">
        <v>676</v>
      </c>
      <c r="F229" s="1" t="s">
        <v>30</v>
      </c>
      <c r="G229" s="32">
        <v>21000</v>
      </c>
      <c r="H229" s="1" t="s">
        <v>7</v>
      </c>
      <c r="I229" s="1">
        <v>2</v>
      </c>
    </row>
    <row r="230" spans="1:9" x14ac:dyDescent="0.35">
      <c r="A230" s="1">
        <f>ROW()-ROW(BARANGMASUK!$A$3)</f>
        <v>227</v>
      </c>
      <c r="B230" s="1" t="s">
        <v>726</v>
      </c>
      <c r="C230" s="24">
        <v>45577</v>
      </c>
      <c r="D230" s="1" t="s">
        <v>673</v>
      </c>
      <c r="E230" s="15" t="s">
        <v>674</v>
      </c>
      <c r="F230" s="1" t="s">
        <v>30</v>
      </c>
      <c r="G230" s="32">
        <v>21000</v>
      </c>
      <c r="H230" s="1" t="s">
        <v>7</v>
      </c>
      <c r="I230" s="1">
        <v>2</v>
      </c>
    </row>
    <row r="231" spans="1:9" x14ac:dyDescent="0.35">
      <c r="A231" s="1">
        <f>ROW()-ROW(BARANGMASUK!$A$3)</f>
        <v>228</v>
      </c>
      <c r="B231" s="1" t="s">
        <v>728</v>
      </c>
      <c r="C231" s="24">
        <v>45577</v>
      </c>
      <c r="D231" s="1" t="s">
        <v>677</v>
      </c>
      <c r="E231" s="15" t="s">
        <v>678</v>
      </c>
      <c r="F231" s="1" t="s">
        <v>30</v>
      </c>
      <c r="G231" s="32">
        <v>21000</v>
      </c>
      <c r="H231" s="1" t="s">
        <v>7</v>
      </c>
      <c r="I231" s="1">
        <v>2</v>
      </c>
    </row>
    <row r="232" spans="1:9" x14ac:dyDescent="0.35">
      <c r="A232" s="1">
        <f>ROW()-ROW(BARANGMASUK!$A$3)</f>
        <v>229</v>
      </c>
      <c r="B232" s="1" t="s">
        <v>488</v>
      </c>
      <c r="C232" s="24">
        <v>45469</v>
      </c>
      <c r="D232" s="1" t="s">
        <v>450</v>
      </c>
      <c r="E232" s="15" t="s">
        <v>451</v>
      </c>
      <c r="F232" s="1" t="s">
        <v>41</v>
      </c>
      <c r="G232" s="32">
        <v>55000</v>
      </c>
      <c r="H232" s="1" t="s">
        <v>7</v>
      </c>
      <c r="I232" s="1">
        <v>2</v>
      </c>
    </row>
    <row r="233" spans="1:9" x14ac:dyDescent="0.35">
      <c r="A233" s="1">
        <f>ROW()-ROW(BARANGMASUK!$A$3)</f>
        <v>230</v>
      </c>
      <c r="B233" s="1" t="s">
        <v>734</v>
      </c>
      <c r="C233" s="24">
        <v>45577</v>
      </c>
      <c r="D233" s="1" t="s">
        <v>450</v>
      </c>
      <c r="E233" s="15" t="s">
        <v>451</v>
      </c>
      <c r="F233" s="1" t="s">
        <v>41</v>
      </c>
      <c r="G233" s="32">
        <v>27500</v>
      </c>
      <c r="H233" s="1" t="s">
        <v>7</v>
      </c>
      <c r="I233" s="1">
        <v>1</v>
      </c>
    </row>
    <row r="234" spans="1:9" x14ac:dyDescent="0.35">
      <c r="A234" s="1">
        <f>ROW()-ROW(BARANGMASUK!$A$3)</f>
        <v>231</v>
      </c>
      <c r="B234" s="1" t="s">
        <v>202</v>
      </c>
      <c r="C234" s="24">
        <v>45325</v>
      </c>
      <c r="D234" s="1" t="s">
        <v>95</v>
      </c>
      <c r="E234" s="15" t="s">
        <v>96</v>
      </c>
      <c r="F234" s="1" t="s">
        <v>30</v>
      </c>
      <c r="H234" s="1" t="s">
        <v>7</v>
      </c>
      <c r="I234" s="1">
        <v>12</v>
      </c>
    </row>
    <row r="235" spans="1:9" x14ac:dyDescent="0.35">
      <c r="A235" s="1">
        <f>ROW()-ROW(BARANGMASUK!$A$3)</f>
        <v>232</v>
      </c>
      <c r="B235" s="1" t="s">
        <v>713</v>
      </c>
      <c r="C235" s="24">
        <v>45577</v>
      </c>
      <c r="D235" s="1" t="s">
        <v>95</v>
      </c>
      <c r="E235" s="15" t="s">
        <v>96</v>
      </c>
      <c r="F235" s="1" t="s">
        <v>30</v>
      </c>
      <c r="G235" s="32">
        <v>72000</v>
      </c>
      <c r="H235" s="1" t="s">
        <v>7</v>
      </c>
      <c r="I235" s="1">
        <v>1</v>
      </c>
    </row>
    <row r="236" spans="1:9" x14ac:dyDescent="0.35">
      <c r="A236" s="1">
        <f>ROW()-ROW(BARANGMASUK!$A$3)</f>
        <v>233</v>
      </c>
      <c r="B236" s="1" t="s">
        <v>265</v>
      </c>
      <c r="C236" s="24">
        <v>45325</v>
      </c>
      <c r="D236" s="1" t="s">
        <v>92</v>
      </c>
      <c r="E236" s="15" t="s">
        <v>93</v>
      </c>
      <c r="F236" s="1" t="s">
        <v>30</v>
      </c>
      <c r="H236" s="1" t="s">
        <v>7</v>
      </c>
      <c r="I236" s="1">
        <v>12</v>
      </c>
    </row>
    <row r="237" spans="1:9" x14ac:dyDescent="0.35">
      <c r="A237" s="1">
        <f>ROW()-ROW(BARANGMASUK!$A$3)</f>
        <v>234</v>
      </c>
      <c r="B237" s="1" t="s">
        <v>712</v>
      </c>
      <c r="C237" s="24">
        <v>45577</v>
      </c>
      <c r="D237" s="1" t="s">
        <v>92</v>
      </c>
      <c r="E237" s="15" t="s">
        <v>93</v>
      </c>
      <c r="F237" s="1" t="s">
        <v>30</v>
      </c>
      <c r="G237" s="32">
        <v>133000</v>
      </c>
      <c r="H237" s="1" t="s">
        <v>7</v>
      </c>
      <c r="I237" s="1">
        <v>1</v>
      </c>
    </row>
    <row r="238" spans="1:9" x14ac:dyDescent="0.35">
      <c r="A238" s="1">
        <f>ROW()-ROW(BARANGMASUK!$A$3)</f>
        <v>235</v>
      </c>
      <c r="B238" s="1" t="s">
        <v>264</v>
      </c>
      <c r="C238" s="24">
        <v>45325</v>
      </c>
      <c r="D238" s="1" t="s">
        <v>90</v>
      </c>
      <c r="E238" s="15" t="s">
        <v>91</v>
      </c>
      <c r="F238" s="1" t="s">
        <v>521</v>
      </c>
      <c r="H238" s="1" t="s">
        <v>7</v>
      </c>
      <c r="I238" s="1">
        <v>2</v>
      </c>
    </row>
    <row r="239" spans="1:9" x14ac:dyDescent="0.35">
      <c r="A239" s="1">
        <f>ROW()-ROW(BARANGMASUK!$A$3)</f>
        <v>236</v>
      </c>
      <c r="B239" s="1" t="s">
        <v>706</v>
      </c>
      <c r="C239" s="24">
        <v>45577</v>
      </c>
      <c r="D239" s="1" t="s">
        <v>636</v>
      </c>
      <c r="E239" s="15" t="s">
        <v>637</v>
      </c>
      <c r="F239" s="1" t="s">
        <v>30</v>
      </c>
      <c r="G239" s="32">
        <v>28500</v>
      </c>
      <c r="H239" s="1" t="s">
        <v>7</v>
      </c>
      <c r="I239" s="1">
        <v>3</v>
      </c>
    </row>
    <row r="240" spans="1:9" x14ac:dyDescent="0.35">
      <c r="A240" s="1">
        <f>ROW()-ROW(BARANGMASUK!$A$3)</f>
        <v>237</v>
      </c>
      <c r="B240" s="1" t="s">
        <v>705</v>
      </c>
      <c r="C240" s="24">
        <v>45577</v>
      </c>
      <c r="D240" s="1" t="s">
        <v>634</v>
      </c>
      <c r="E240" s="15" t="s">
        <v>635</v>
      </c>
      <c r="F240" s="1" t="s">
        <v>30</v>
      </c>
      <c r="G240" s="32">
        <v>87500</v>
      </c>
      <c r="H240" s="1" t="s">
        <v>7</v>
      </c>
      <c r="I240" s="1">
        <v>5</v>
      </c>
    </row>
    <row r="241" spans="1:9" x14ac:dyDescent="0.35">
      <c r="A241" s="1">
        <f>ROW()-ROW(BARANGMASUK!$A$3)</f>
        <v>238</v>
      </c>
      <c r="B241" s="1" t="s">
        <v>268</v>
      </c>
      <c r="C241" s="24">
        <v>45325</v>
      </c>
      <c r="D241" s="1" t="s">
        <v>107</v>
      </c>
      <c r="E241" s="15" t="s">
        <v>108</v>
      </c>
      <c r="F241" s="1" t="s">
        <v>106</v>
      </c>
      <c r="H241" s="1" t="s">
        <v>7</v>
      </c>
      <c r="I241" s="1">
        <v>1</v>
      </c>
    </row>
    <row r="242" spans="1:9" x14ac:dyDescent="0.35">
      <c r="A242" s="1">
        <f>ROW()-ROW(BARANGMASUK!$A$3)</f>
        <v>239</v>
      </c>
      <c r="B242" s="1" t="s">
        <v>776</v>
      </c>
      <c r="C242" s="24">
        <v>45645</v>
      </c>
      <c r="D242" s="1" t="s">
        <v>107</v>
      </c>
      <c r="E242" s="15" t="s">
        <v>108</v>
      </c>
      <c r="F242" s="1" t="s">
        <v>106</v>
      </c>
      <c r="G242" s="32">
        <v>12000</v>
      </c>
      <c r="H242" s="1" t="s">
        <v>7</v>
      </c>
      <c r="I242" s="1">
        <v>3</v>
      </c>
    </row>
    <row r="243" spans="1:9" x14ac:dyDescent="0.35">
      <c r="A243" s="1">
        <f>ROW()-ROW(BARANGMASUK!$A$3)</f>
        <v>240</v>
      </c>
      <c r="B243" s="1" t="s">
        <v>502</v>
      </c>
      <c r="C243" s="24">
        <v>45469</v>
      </c>
      <c r="D243" s="1" t="s">
        <v>500</v>
      </c>
      <c r="E243" s="15" t="s">
        <v>501</v>
      </c>
      <c r="F243" s="1" t="s">
        <v>30</v>
      </c>
      <c r="G243" s="32">
        <v>10000</v>
      </c>
      <c r="H243" s="1" t="s">
        <v>7</v>
      </c>
      <c r="I243" s="1">
        <v>4</v>
      </c>
    </row>
    <row r="244" spans="1:9" x14ac:dyDescent="0.35">
      <c r="A244" s="1">
        <f>ROW()-ROW(BARANGMASUK!$A$3)</f>
        <v>241</v>
      </c>
      <c r="B244" s="1" t="s">
        <v>361</v>
      </c>
      <c r="C244" s="24">
        <v>45404</v>
      </c>
      <c r="D244" s="1" t="s">
        <v>347</v>
      </c>
      <c r="E244" s="15" t="s">
        <v>348</v>
      </c>
      <c r="F244" s="1" t="s">
        <v>106</v>
      </c>
      <c r="H244" s="1" t="s">
        <v>7</v>
      </c>
      <c r="I244" s="1">
        <v>4</v>
      </c>
    </row>
    <row r="245" spans="1:9" x14ac:dyDescent="0.35">
      <c r="A245" s="1">
        <f>ROW()-ROW(BARANGMASUK!$A$3)</f>
        <v>242</v>
      </c>
      <c r="B245" s="1" t="s">
        <v>240</v>
      </c>
      <c r="C245" s="24">
        <v>45325</v>
      </c>
      <c r="D245" s="1" t="s">
        <v>188</v>
      </c>
      <c r="E245" s="15" t="s">
        <v>189</v>
      </c>
      <c r="F245" s="1" t="s">
        <v>30</v>
      </c>
      <c r="H245" s="1" t="s">
        <v>7</v>
      </c>
      <c r="I245" s="1">
        <v>1</v>
      </c>
    </row>
    <row r="246" spans="1:9" x14ac:dyDescent="0.35">
      <c r="A246" s="1">
        <f>ROW()-ROW(BARANGMASUK!$A$3)</f>
        <v>243</v>
      </c>
      <c r="B246" s="1" t="s">
        <v>239</v>
      </c>
      <c r="C246" s="24">
        <v>45325</v>
      </c>
      <c r="D246" s="1" t="s">
        <v>190</v>
      </c>
      <c r="E246" s="15" t="s">
        <v>191</v>
      </c>
      <c r="F246" s="1" t="s">
        <v>35</v>
      </c>
      <c r="H246" s="1" t="s">
        <v>7</v>
      </c>
      <c r="I246" s="1">
        <v>1</v>
      </c>
    </row>
    <row r="247" spans="1:9" x14ac:dyDescent="0.35">
      <c r="A247" s="1">
        <f>ROW()-ROW(BARANGMASUK!$A$3)</f>
        <v>244</v>
      </c>
      <c r="B247" s="1" t="s">
        <v>708</v>
      </c>
      <c r="C247" s="24">
        <v>45577</v>
      </c>
      <c r="D247" s="1" t="s">
        <v>641</v>
      </c>
      <c r="E247" s="15" t="s">
        <v>642</v>
      </c>
      <c r="F247" s="1" t="s">
        <v>562</v>
      </c>
      <c r="G247" s="32">
        <v>33000</v>
      </c>
      <c r="H247" s="1" t="s">
        <v>7</v>
      </c>
      <c r="I247" s="1">
        <v>3</v>
      </c>
    </row>
    <row r="248" spans="1:9" x14ac:dyDescent="0.35">
      <c r="A248" s="1">
        <f>ROW()-ROW(BARANGMASUK!$A$3)</f>
        <v>245</v>
      </c>
      <c r="B248" s="1" t="s">
        <v>490</v>
      </c>
      <c r="C248" s="24">
        <v>45469</v>
      </c>
      <c r="D248" s="1" t="s">
        <v>454</v>
      </c>
      <c r="E248" s="15" t="s">
        <v>455</v>
      </c>
      <c r="F248" s="1" t="s">
        <v>106</v>
      </c>
      <c r="G248" s="32">
        <v>46500</v>
      </c>
      <c r="H248" s="1" t="s">
        <v>7</v>
      </c>
      <c r="I248" s="1">
        <v>3</v>
      </c>
    </row>
    <row r="249" spans="1:9" x14ac:dyDescent="0.35">
      <c r="A249" s="1">
        <f>ROW()-ROW(BARANGMASUK!$A$3)</f>
        <v>246</v>
      </c>
      <c r="B249" s="1" t="s">
        <v>720</v>
      </c>
      <c r="C249" s="24">
        <v>45577</v>
      </c>
      <c r="D249" s="1" t="s">
        <v>661</v>
      </c>
      <c r="E249" s="15" t="s">
        <v>662</v>
      </c>
      <c r="F249" s="1" t="s">
        <v>562</v>
      </c>
      <c r="G249" s="32">
        <v>19500</v>
      </c>
      <c r="H249" s="1" t="s">
        <v>7</v>
      </c>
      <c r="I249" s="1">
        <v>1</v>
      </c>
    </row>
    <row r="250" spans="1:9" x14ac:dyDescent="0.35">
      <c r="A250" s="1">
        <f>ROW()-ROW(BARANGMASUK!$A$3)</f>
        <v>247</v>
      </c>
      <c r="B250" s="1" t="s">
        <v>772</v>
      </c>
      <c r="C250" s="24">
        <v>45645</v>
      </c>
      <c r="D250" s="1" t="s">
        <v>661</v>
      </c>
      <c r="E250" s="15" t="s">
        <v>662</v>
      </c>
      <c r="F250" s="1" t="s">
        <v>562</v>
      </c>
      <c r="G250" s="32">
        <v>80000</v>
      </c>
      <c r="H250" s="1" t="s">
        <v>7</v>
      </c>
      <c r="I250" s="1">
        <v>4</v>
      </c>
    </row>
    <row r="251" spans="1:9" x14ac:dyDescent="0.35">
      <c r="A251" s="1">
        <f>ROW()-ROW(BARANGMASUK!$A$3)</f>
        <v>248</v>
      </c>
      <c r="B251" s="1" t="s">
        <v>710</v>
      </c>
      <c r="C251" s="24">
        <v>45577</v>
      </c>
      <c r="D251" s="1" t="s">
        <v>645</v>
      </c>
      <c r="E251" s="15" t="s">
        <v>646</v>
      </c>
      <c r="F251" s="1" t="s">
        <v>562</v>
      </c>
      <c r="G251" s="32">
        <v>13000</v>
      </c>
      <c r="H251" s="1" t="s">
        <v>7</v>
      </c>
      <c r="I251" s="1">
        <v>2</v>
      </c>
    </row>
    <row r="252" spans="1:9" x14ac:dyDescent="0.35">
      <c r="A252" s="1">
        <f>ROW()-ROW(BARANGMASUK!$A$3)</f>
        <v>249</v>
      </c>
      <c r="B252" s="1" t="s">
        <v>307</v>
      </c>
      <c r="C252" s="24">
        <v>45299</v>
      </c>
      <c r="D252" s="1" t="s">
        <v>305</v>
      </c>
      <c r="E252" s="15" t="s">
        <v>306</v>
      </c>
      <c r="F252" s="1" t="s">
        <v>30</v>
      </c>
      <c r="H252" s="1" t="s">
        <v>7</v>
      </c>
      <c r="I252" s="1">
        <v>4</v>
      </c>
    </row>
    <row r="253" spans="1:9" x14ac:dyDescent="0.35">
      <c r="A253" s="1">
        <f>ROW()-ROW(BARANGMASUK!$A$3)</f>
        <v>250</v>
      </c>
      <c r="B253" s="1" t="s">
        <v>489</v>
      </c>
      <c r="C253" s="24">
        <v>45469</v>
      </c>
      <c r="D253" s="1" t="s">
        <v>452</v>
      </c>
      <c r="E253" s="15" t="s">
        <v>453</v>
      </c>
      <c r="F253" s="1" t="s">
        <v>106</v>
      </c>
      <c r="G253" s="32">
        <v>72000</v>
      </c>
      <c r="H253" s="1" t="s">
        <v>7</v>
      </c>
      <c r="I253" s="1">
        <v>4</v>
      </c>
    </row>
    <row r="254" spans="1:9" x14ac:dyDescent="0.35">
      <c r="A254" s="1">
        <f>ROW()-ROW(BARANGMASUK!$A$3)</f>
        <v>251</v>
      </c>
      <c r="B254" s="1" t="s">
        <v>709</v>
      </c>
      <c r="C254" s="24">
        <v>45577</v>
      </c>
      <c r="D254" s="1" t="s">
        <v>643</v>
      </c>
      <c r="E254" s="15" t="s">
        <v>644</v>
      </c>
      <c r="F254" s="1" t="s">
        <v>562</v>
      </c>
      <c r="G254" s="32">
        <v>39000</v>
      </c>
      <c r="H254" s="1" t="s">
        <v>7</v>
      </c>
      <c r="I254" s="1">
        <v>2</v>
      </c>
    </row>
    <row r="255" spans="1:9" x14ac:dyDescent="0.35">
      <c r="A255" s="1">
        <f>ROW()-ROW(BARANGMASUK!$A$3)</f>
        <v>252</v>
      </c>
      <c r="B255" s="1" t="s">
        <v>719</v>
      </c>
      <c r="C255" s="24">
        <v>45577</v>
      </c>
      <c r="D255" s="1" t="s">
        <v>659</v>
      </c>
      <c r="E255" s="15" t="s">
        <v>660</v>
      </c>
      <c r="F255" s="1" t="s">
        <v>562</v>
      </c>
      <c r="G255" s="32">
        <v>39000</v>
      </c>
      <c r="H255" s="1" t="s">
        <v>7</v>
      </c>
      <c r="I255" s="1">
        <v>2</v>
      </c>
    </row>
    <row r="256" spans="1:9" x14ac:dyDescent="0.35">
      <c r="A256" s="1">
        <f>ROW()-ROW(BARANGMASUK!$A$3)</f>
        <v>253</v>
      </c>
      <c r="B256" s="1" t="s">
        <v>491</v>
      </c>
      <c r="C256" s="24">
        <v>45469</v>
      </c>
      <c r="D256" s="1" t="s">
        <v>456</v>
      </c>
      <c r="E256" s="15" t="s">
        <v>457</v>
      </c>
      <c r="F256" s="1" t="s">
        <v>106</v>
      </c>
      <c r="G256" s="32">
        <v>40000</v>
      </c>
      <c r="H256" s="1" t="s">
        <v>7</v>
      </c>
      <c r="I256" s="1">
        <v>4</v>
      </c>
    </row>
    <row r="257" spans="1:9" x14ac:dyDescent="0.35">
      <c r="A257" s="1">
        <f>ROW()-ROW(BARANGMASUK!$A$3)</f>
        <v>254</v>
      </c>
      <c r="B257" s="1" t="s">
        <v>362</v>
      </c>
      <c r="C257" s="24">
        <v>45404</v>
      </c>
      <c r="D257" s="1" t="s">
        <v>349</v>
      </c>
      <c r="E257" s="15" t="s">
        <v>350</v>
      </c>
      <c r="F257" s="1" t="s">
        <v>106</v>
      </c>
      <c r="H257" s="1" t="s">
        <v>7</v>
      </c>
      <c r="I257" s="1">
        <v>2</v>
      </c>
    </row>
    <row r="258" spans="1:9" x14ac:dyDescent="0.35">
      <c r="A258" s="1">
        <f>ROW()-ROW(BARANGMASUK!$A$3)</f>
        <v>255</v>
      </c>
      <c r="B258" s="1" t="s">
        <v>360</v>
      </c>
      <c r="C258" s="24">
        <v>45404</v>
      </c>
      <c r="D258" s="1" t="s">
        <v>345</v>
      </c>
      <c r="E258" s="15" t="s">
        <v>346</v>
      </c>
      <c r="F258" s="1" t="s">
        <v>106</v>
      </c>
      <c r="H258" s="1" t="s">
        <v>7</v>
      </c>
      <c r="I258" s="1">
        <v>2</v>
      </c>
    </row>
    <row r="259" spans="1:9" x14ac:dyDescent="0.35">
      <c r="A259" s="1">
        <f>ROW()-ROW(BARANGMASUK!$A$3)</f>
        <v>256</v>
      </c>
      <c r="B259" s="1" t="s">
        <v>242</v>
      </c>
      <c r="C259" s="24">
        <v>45325</v>
      </c>
      <c r="D259" s="1" t="s">
        <v>184</v>
      </c>
      <c r="E259" s="15" t="s">
        <v>185</v>
      </c>
      <c r="F259" s="1" t="s">
        <v>30</v>
      </c>
      <c r="H259" s="1" t="s">
        <v>7</v>
      </c>
      <c r="I259" s="1">
        <v>2</v>
      </c>
    </row>
    <row r="260" spans="1:9" x14ac:dyDescent="0.35">
      <c r="A260" s="1">
        <f>ROW()-ROW(BARANGMASUK!$A$3)</f>
        <v>257</v>
      </c>
      <c r="B260" s="1" t="s">
        <v>795</v>
      </c>
      <c r="C260" s="24">
        <v>45630</v>
      </c>
      <c r="D260" s="1" t="s">
        <v>788</v>
      </c>
      <c r="E260" s="15" t="s">
        <v>789</v>
      </c>
      <c r="F260" s="1" t="s">
        <v>30</v>
      </c>
      <c r="G260" s="32">
        <v>250000</v>
      </c>
      <c r="H260" s="1" t="s">
        <v>7</v>
      </c>
      <c r="I260" s="1">
        <v>1</v>
      </c>
    </row>
    <row r="261" spans="1:9" x14ac:dyDescent="0.35">
      <c r="A261" s="1">
        <f>ROW()-ROW(BARANGMASUK!$A$3)</f>
        <v>258</v>
      </c>
      <c r="B261" s="1" t="s">
        <v>497</v>
      </c>
      <c r="C261" s="24">
        <v>45469</v>
      </c>
      <c r="D261" s="1" t="s">
        <v>468</v>
      </c>
      <c r="E261" s="15" t="s">
        <v>469</v>
      </c>
      <c r="F261" s="1" t="s">
        <v>304</v>
      </c>
      <c r="G261" s="32">
        <v>28500</v>
      </c>
      <c r="H261" s="1" t="s">
        <v>7</v>
      </c>
      <c r="I261" s="1">
        <v>1</v>
      </c>
    </row>
    <row r="262" spans="1:9" x14ac:dyDescent="0.35">
      <c r="A262" s="1">
        <f>ROW()-ROW(BARANGMASUK!$A$3)</f>
        <v>259</v>
      </c>
      <c r="B262" s="1" t="s">
        <v>731</v>
      </c>
      <c r="C262" s="24">
        <v>45577</v>
      </c>
      <c r="D262" s="1" t="s">
        <v>683</v>
      </c>
      <c r="E262" s="15" t="s">
        <v>684</v>
      </c>
      <c r="F262" s="1" t="s">
        <v>304</v>
      </c>
      <c r="G262" s="32">
        <v>55000</v>
      </c>
      <c r="H262" s="1" t="s">
        <v>7</v>
      </c>
      <c r="I262" s="1">
        <v>2</v>
      </c>
    </row>
    <row r="263" spans="1:9" x14ac:dyDescent="0.35">
      <c r="A263" s="1">
        <f>ROW()-ROW(BARANGMASUK!$A$3)</f>
        <v>260</v>
      </c>
      <c r="B263" s="1" t="s">
        <v>496</v>
      </c>
      <c r="C263" s="24">
        <v>45469</v>
      </c>
      <c r="D263" s="1" t="s">
        <v>466</v>
      </c>
      <c r="E263" s="15" t="s">
        <v>467</v>
      </c>
      <c r="F263" s="1" t="s">
        <v>106</v>
      </c>
      <c r="G263" s="32">
        <v>44000</v>
      </c>
      <c r="H263" s="1" t="s">
        <v>7</v>
      </c>
      <c r="I263" s="1">
        <v>2</v>
      </c>
    </row>
    <row r="264" spans="1:9" x14ac:dyDescent="0.35">
      <c r="A264" s="1">
        <f>ROW()-ROW(BARANGMASUK!$A$3)</f>
        <v>261</v>
      </c>
      <c r="B264" s="1" t="s">
        <v>219</v>
      </c>
      <c r="C264" s="24">
        <v>45310</v>
      </c>
      <c r="D264" s="1" t="s">
        <v>36</v>
      </c>
      <c r="E264" s="15" t="s">
        <v>37</v>
      </c>
      <c r="F264" s="1" t="s">
        <v>35</v>
      </c>
      <c r="H264" s="1" t="s">
        <v>7</v>
      </c>
      <c r="I264" s="1">
        <v>1</v>
      </c>
    </row>
    <row r="265" spans="1:9" x14ac:dyDescent="0.35">
      <c r="A265" s="1">
        <f>ROW()-ROW(BARANGMASUK!$A$3)</f>
        <v>262</v>
      </c>
      <c r="B265" s="1" t="s">
        <v>316</v>
      </c>
      <c r="C265" s="24">
        <v>45353</v>
      </c>
      <c r="D265" s="1" t="s">
        <v>308</v>
      </c>
      <c r="E265" s="15" t="s">
        <v>309</v>
      </c>
      <c r="F265" s="1" t="s">
        <v>35</v>
      </c>
      <c r="H265" s="1" t="s">
        <v>7</v>
      </c>
      <c r="I265" s="1">
        <v>1</v>
      </c>
    </row>
    <row r="266" spans="1:9" x14ac:dyDescent="0.35">
      <c r="A266" s="1">
        <f>ROW()-ROW(BARANGMASUK!$A$3)</f>
        <v>263</v>
      </c>
      <c r="B266" s="1" t="s">
        <v>373</v>
      </c>
      <c r="C266" s="24">
        <v>45404</v>
      </c>
      <c r="D266" s="1" t="s">
        <v>308</v>
      </c>
      <c r="E266" s="15" t="s">
        <v>309</v>
      </c>
      <c r="F266" s="1" t="s">
        <v>35</v>
      </c>
      <c r="H266" s="1" t="s">
        <v>7</v>
      </c>
      <c r="I266" s="1">
        <v>1</v>
      </c>
    </row>
    <row r="267" spans="1:9" x14ac:dyDescent="0.35">
      <c r="A267" s="1">
        <f>ROW()-ROW(BARANGMASUK!$A$3)</f>
        <v>264</v>
      </c>
      <c r="B267" s="1" t="s">
        <v>417</v>
      </c>
      <c r="C267" s="24">
        <v>45469</v>
      </c>
      <c r="D267" s="1" t="s">
        <v>308</v>
      </c>
      <c r="E267" s="15" t="s">
        <v>309</v>
      </c>
      <c r="F267" s="1" t="s">
        <v>35</v>
      </c>
      <c r="G267" s="32">
        <v>258000</v>
      </c>
      <c r="H267" s="1" t="s">
        <v>7</v>
      </c>
      <c r="I267" s="1">
        <v>2</v>
      </c>
    </row>
    <row r="268" spans="1:9" x14ac:dyDescent="0.35">
      <c r="A268" s="1">
        <f>ROW()-ROW(BARANGMASUK!$A$3)</f>
        <v>265</v>
      </c>
      <c r="B268" s="1" t="s">
        <v>545</v>
      </c>
      <c r="C268" s="24">
        <v>45513</v>
      </c>
      <c r="D268" s="1" t="s">
        <v>308</v>
      </c>
      <c r="E268" s="15" t="s">
        <v>309</v>
      </c>
      <c r="F268" s="1" t="s">
        <v>35</v>
      </c>
      <c r="G268" s="32">
        <v>140000</v>
      </c>
      <c r="H268" s="1" t="s">
        <v>7</v>
      </c>
      <c r="I268" s="1">
        <v>1</v>
      </c>
    </row>
    <row r="269" spans="1:9" x14ac:dyDescent="0.35">
      <c r="A269" s="1">
        <f>ROW()-ROW(BARANGMASUK!$A$3)</f>
        <v>266</v>
      </c>
      <c r="B269" s="1" t="s">
        <v>319</v>
      </c>
      <c r="C269" s="24">
        <v>45353</v>
      </c>
      <c r="D269" s="1" t="s">
        <v>314</v>
      </c>
      <c r="E269" s="15" t="s">
        <v>315</v>
      </c>
      <c r="F269" s="1" t="s">
        <v>35</v>
      </c>
      <c r="H269" s="1" t="s">
        <v>7</v>
      </c>
      <c r="I269" s="1">
        <v>1</v>
      </c>
    </row>
    <row r="270" spans="1:9" x14ac:dyDescent="0.35">
      <c r="A270" s="1">
        <f>ROW()-ROW(BARANGMASUK!$A$3)</f>
        <v>267</v>
      </c>
      <c r="B270" s="1" t="s">
        <v>376</v>
      </c>
      <c r="C270" s="24">
        <v>45404</v>
      </c>
      <c r="D270" s="1" t="s">
        <v>314</v>
      </c>
      <c r="E270" s="15" t="s">
        <v>315</v>
      </c>
      <c r="F270" s="1" t="s">
        <v>35</v>
      </c>
      <c r="H270" s="1" t="s">
        <v>7</v>
      </c>
      <c r="I270" s="1">
        <v>1</v>
      </c>
    </row>
    <row r="271" spans="1:9" x14ac:dyDescent="0.35">
      <c r="A271" s="1">
        <f>ROW()-ROW(BARANGMASUK!$A$3)</f>
        <v>268</v>
      </c>
      <c r="B271" s="1" t="s">
        <v>420</v>
      </c>
      <c r="C271" s="24">
        <v>45469</v>
      </c>
      <c r="D271" s="1" t="s">
        <v>314</v>
      </c>
      <c r="E271" s="15" t="s">
        <v>315</v>
      </c>
      <c r="F271" s="1" t="s">
        <v>35</v>
      </c>
      <c r="G271" s="32">
        <v>258000</v>
      </c>
      <c r="H271" s="1" t="s">
        <v>7</v>
      </c>
      <c r="I271" s="1">
        <v>2</v>
      </c>
    </row>
    <row r="272" spans="1:9" x14ac:dyDescent="0.35">
      <c r="A272" s="1">
        <f>ROW()-ROW(BARANGMASUK!$A$3)</f>
        <v>269</v>
      </c>
      <c r="B272" s="1" t="s">
        <v>318</v>
      </c>
      <c r="C272" s="24">
        <v>45353</v>
      </c>
      <c r="D272" s="1" t="s">
        <v>312</v>
      </c>
      <c r="E272" s="15" t="s">
        <v>313</v>
      </c>
      <c r="F272" s="1" t="s">
        <v>35</v>
      </c>
      <c r="H272" s="1" t="s">
        <v>7</v>
      </c>
      <c r="I272" s="1">
        <v>1</v>
      </c>
    </row>
    <row r="273" spans="1:9" x14ac:dyDescent="0.35">
      <c r="A273" s="1">
        <f>ROW()-ROW(BARANGMASUK!$A$3)</f>
        <v>270</v>
      </c>
      <c r="B273" s="1" t="s">
        <v>375</v>
      </c>
      <c r="C273" s="24">
        <v>45404</v>
      </c>
      <c r="D273" s="1" t="s">
        <v>312</v>
      </c>
      <c r="E273" s="15" t="s">
        <v>313</v>
      </c>
      <c r="F273" s="1" t="s">
        <v>35</v>
      </c>
      <c r="H273" s="1" t="s">
        <v>7</v>
      </c>
      <c r="I273" s="1">
        <v>1</v>
      </c>
    </row>
    <row r="274" spans="1:9" x14ac:dyDescent="0.35">
      <c r="A274" s="1">
        <f>ROW()-ROW(BARANGMASUK!$A$3)</f>
        <v>271</v>
      </c>
      <c r="B274" s="1" t="s">
        <v>419</v>
      </c>
      <c r="C274" s="24">
        <v>45469</v>
      </c>
      <c r="D274" s="1" t="s">
        <v>312</v>
      </c>
      <c r="E274" s="15" t="s">
        <v>313</v>
      </c>
      <c r="F274" s="1" t="s">
        <v>35</v>
      </c>
      <c r="G274" s="32">
        <v>258000</v>
      </c>
      <c r="H274" s="1" t="s">
        <v>7</v>
      </c>
      <c r="I274" s="1">
        <v>2</v>
      </c>
    </row>
    <row r="275" spans="1:9" x14ac:dyDescent="0.35">
      <c r="A275" s="1">
        <f>ROW()-ROW(BARANGMASUK!$A$3)</f>
        <v>272</v>
      </c>
      <c r="B275" s="1" t="s">
        <v>317</v>
      </c>
      <c r="C275" s="24">
        <v>45353</v>
      </c>
      <c r="D275" s="1" t="s">
        <v>310</v>
      </c>
      <c r="E275" s="15" t="s">
        <v>311</v>
      </c>
      <c r="F275" s="1" t="s">
        <v>35</v>
      </c>
      <c r="H275" s="1" t="s">
        <v>7</v>
      </c>
      <c r="I275" s="1">
        <v>1</v>
      </c>
    </row>
    <row r="276" spans="1:9" x14ac:dyDescent="0.35">
      <c r="A276" s="1">
        <f>ROW()-ROW(BARANGMASUK!$A$3)</f>
        <v>273</v>
      </c>
      <c r="B276" s="1" t="s">
        <v>374</v>
      </c>
      <c r="C276" s="24">
        <v>45404</v>
      </c>
      <c r="D276" s="1" t="s">
        <v>310</v>
      </c>
      <c r="E276" s="15" t="s">
        <v>311</v>
      </c>
      <c r="F276" s="1" t="s">
        <v>35</v>
      </c>
      <c r="H276" s="1" t="s">
        <v>7</v>
      </c>
      <c r="I276" s="1">
        <v>1</v>
      </c>
    </row>
    <row r="277" spans="1:9" x14ac:dyDescent="0.35">
      <c r="A277" s="1">
        <f>ROW()-ROW(BARANGMASUK!$A$3)</f>
        <v>274</v>
      </c>
      <c r="B277" s="1" t="s">
        <v>418</v>
      </c>
      <c r="C277" s="24">
        <v>45469</v>
      </c>
      <c r="D277" s="1" t="s">
        <v>310</v>
      </c>
      <c r="E277" s="15" t="s">
        <v>311</v>
      </c>
      <c r="F277" s="1" t="s">
        <v>35</v>
      </c>
      <c r="G277" s="32">
        <v>258000</v>
      </c>
      <c r="H277" s="1" t="s">
        <v>7</v>
      </c>
      <c r="I277" s="1">
        <v>2</v>
      </c>
    </row>
    <row r="278" spans="1:9" x14ac:dyDescent="0.35">
      <c r="A278" s="1">
        <f>ROW()-ROW(BARANGMASUK!$A$3)</f>
        <v>275</v>
      </c>
      <c r="B278" s="1" t="s">
        <v>546</v>
      </c>
      <c r="C278" s="24">
        <v>45513</v>
      </c>
      <c r="D278" s="1" t="s">
        <v>310</v>
      </c>
      <c r="E278" s="15" t="s">
        <v>311</v>
      </c>
      <c r="F278" s="1" t="s">
        <v>35</v>
      </c>
      <c r="G278" s="32">
        <v>420000</v>
      </c>
      <c r="H278" s="1" t="s">
        <v>7</v>
      </c>
      <c r="I278" s="1">
        <v>3</v>
      </c>
    </row>
    <row r="279" spans="1:9" x14ac:dyDescent="0.35">
      <c r="A279" s="1">
        <f>ROW()-ROW(BARANGMASUK!$A$3)</f>
        <v>276</v>
      </c>
      <c r="B279" s="1" t="s">
        <v>222</v>
      </c>
      <c r="C279" s="24">
        <v>45325</v>
      </c>
      <c r="D279" s="1" t="s">
        <v>58</v>
      </c>
      <c r="E279" s="15" t="s">
        <v>59</v>
      </c>
      <c r="F279" s="1" t="s">
        <v>35</v>
      </c>
      <c r="H279" s="1" t="s">
        <v>7</v>
      </c>
      <c r="I279" s="1">
        <v>2</v>
      </c>
    </row>
    <row r="280" spans="1:9" x14ac:dyDescent="0.35">
      <c r="A280" s="1">
        <f>ROW()-ROW(BARANGMASUK!$A$3)</f>
        <v>277</v>
      </c>
      <c r="B280" s="1" t="s">
        <v>504</v>
      </c>
      <c r="C280" s="24">
        <v>45323</v>
      </c>
      <c r="D280" s="1" t="s">
        <v>58</v>
      </c>
      <c r="E280" s="15" t="s">
        <v>59</v>
      </c>
      <c r="F280" s="1" t="s">
        <v>35</v>
      </c>
      <c r="G280" s="32">
        <v>100000</v>
      </c>
      <c r="H280" s="1" t="s">
        <v>7</v>
      </c>
      <c r="I280" s="1">
        <v>1</v>
      </c>
    </row>
    <row r="281" spans="1:9" x14ac:dyDescent="0.35">
      <c r="A281" s="1">
        <f>ROW()-ROW(BARANGMASUK!$A$3)</f>
        <v>278</v>
      </c>
      <c r="B281" s="1" t="s">
        <v>701</v>
      </c>
      <c r="C281" s="24">
        <v>45577</v>
      </c>
      <c r="D281" s="1" t="s">
        <v>58</v>
      </c>
      <c r="E281" s="15" t="s">
        <v>59</v>
      </c>
      <c r="F281" s="1" t="s">
        <v>35</v>
      </c>
      <c r="G281" s="32">
        <v>100000</v>
      </c>
      <c r="H281" s="1" t="s">
        <v>7</v>
      </c>
      <c r="I281" s="1">
        <v>1</v>
      </c>
    </row>
    <row r="282" spans="1:9" x14ac:dyDescent="0.35">
      <c r="A282" s="1">
        <f>ROW()-ROW(BARANGMASUK!$A$3)</f>
        <v>279</v>
      </c>
      <c r="B282" s="1" t="s">
        <v>223</v>
      </c>
      <c r="C282" s="24">
        <v>45325</v>
      </c>
      <c r="D282" s="1" t="s">
        <v>60</v>
      </c>
      <c r="E282" s="15" t="s">
        <v>61</v>
      </c>
      <c r="F282" s="1" t="s">
        <v>35</v>
      </c>
      <c r="H282" s="1" t="s">
        <v>7</v>
      </c>
      <c r="I282" s="1">
        <v>2</v>
      </c>
    </row>
    <row r="283" spans="1:9" x14ac:dyDescent="0.35">
      <c r="A283" s="1">
        <f>ROW()-ROW(BARANGMASUK!$A$3)</f>
        <v>280</v>
      </c>
      <c r="B283" s="1" t="s">
        <v>224</v>
      </c>
      <c r="C283" s="24">
        <v>45325</v>
      </c>
      <c r="D283" s="1" t="s">
        <v>62</v>
      </c>
      <c r="E283" s="15" t="s">
        <v>63</v>
      </c>
      <c r="F283" s="1" t="s">
        <v>35</v>
      </c>
      <c r="H283" s="1" t="s">
        <v>7</v>
      </c>
      <c r="I283" s="1">
        <v>2</v>
      </c>
    </row>
    <row r="284" spans="1:9" x14ac:dyDescent="0.35">
      <c r="A284" s="1">
        <f>ROW()-ROW(BARANGMASUK!$A$3)</f>
        <v>281</v>
      </c>
      <c r="B284" s="1" t="s">
        <v>413</v>
      </c>
      <c r="C284" s="24">
        <v>45469</v>
      </c>
      <c r="D284" s="1" t="s">
        <v>62</v>
      </c>
      <c r="E284" s="15" t="s">
        <v>63</v>
      </c>
      <c r="F284" s="1" t="s">
        <v>35</v>
      </c>
      <c r="G284" s="32">
        <v>100000</v>
      </c>
      <c r="H284" s="1" t="s">
        <v>7</v>
      </c>
      <c r="I284" s="1">
        <v>1</v>
      </c>
    </row>
    <row r="285" spans="1:9" x14ac:dyDescent="0.35">
      <c r="A285" s="1">
        <f>ROW()-ROW(BARANGMASUK!$A$3)</f>
        <v>282</v>
      </c>
      <c r="B285" s="1" t="s">
        <v>225</v>
      </c>
      <c r="C285" s="24">
        <v>45325</v>
      </c>
      <c r="D285" s="1" t="s">
        <v>64</v>
      </c>
      <c r="E285" s="15" t="s">
        <v>65</v>
      </c>
      <c r="F285" s="1" t="s">
        <v>35</v>
      </c>
      <c r="H285" s="1" t="s">
        <v>7</v>
      </c>
      <c r="I285" s="1">
        <v>2</v>
      </c>
    </row>
    <row r="286" spans="1:9" x14ac:dyDescent="0.35">
      <c r="A286" s="1">
        <f>ROW()-ROW(BARANGMASUK!$A$3)</f>
        <v>283</v>
      </c>
      <c r="B286" s="1" t="s">
        <v>218</v>
      </c>
      <c r="C286" s="24">
        <v>45310</v>
      </c>
      <c r="D286" s="1" t="s">
        <v>28</v>
      </c>
      <c r="E286" s="15" t="s">
        <v>34</v>
      </c>
      <c r="F286" s="1" t="s">
        <v>35</v>
      </c>
      <c r="H286" s="1" t="s">
        <v>7</v>
      </c>
      <c r="I286" s="1">
        <v>2</v>
      </c>
    </row>
    <row r="287" spans="1:9" x14ac:dyDescent="0.35">
      <c r="A287" s="1">
        <f>ROW()-ROW(BARANGMASUK!$A$3)</f>
        <v>284</v>
      </c>
      <c r="B287" s="1" t="s">
        <v>226</v>
      </c>
      <c r="C287" s="24">
        <v>45325</v>
      </c>
      <c r="D287" s="1" t="s">
        <v>28</v>
      </c>
      <c r="E287" s="15" t="s">
        <v>51</v>
      </c>
      <c r="F287" s="1" t="s">
        <v>35</v>
      </c>
      <c r="H287" s="1" t="s">
        <v>7</v>
      </c>
      <c r="I287" s="1">
        <v>1</v>
      </c>
    </row>
    <row r="288" spans="1:9" x14ac:dyDescent="0.35">
      <c r="A288" s="1">
        <f>ROW()-ROW(BARANGMASUK!$A$3)</f>
        <v>285</v>
      </c>
      <c r="B288" s="1" t="s">
        <v>369</v>
      </c>
      <c r="C288" s="24">
        <v>45404</v>
      </c>
      <c r="D288" s="1" t="s">
        <v>28</v>
      </c>
      <c r="E288" s="15" t="s">
        <v>51</v>
      </c>
      <c r="F288" s="1" t="s">
        <v>35</v>
      </c>
      <c r="H288" s="1" t="s">
        <v>7</v>
      </c>
      <c r="I288" s="1">
        <v>2</v>
      </c>
    </row>
    <row r="289" spans="1:9" x14ac:dyDescent="0.35">
      <c r="A289" s="1">
        <f>ROW()-ROW(BARANGMASUK!$A$3)</f>
        <v>286</v>
      </c>
      <c r="B289" s="1" t="s">
        <v>544</v>
      </c>
      <c r="C289" s="24">
        <v>45513</v>
      </c>
      <c r="D289" s="1" t="s">
        <v>28</v>
      </c>
      <c r="E289" s="15" t="s">
        <v>51</v>
      </c>
      <c r="F289" s="1" t="s">
        <v>35</v>
      </c>
      <c r="G289" s="32">
        <v>295000</v>
      </c>
      <c r="H289" s="1" t="s">
        <v>7</v>
      </c>
      <c r="I289" s="1">
        <v>1</v>
      </c>
    </row>
    <row r="290" spans="1:9" x14ac:dyDescent="0.35">
      <c r="A290" s="1">
        <f>ROW()-ROW(BARANGMASUK!$A$3)</f>
        <v>287</v>
      </c>
      <c r="B290" s="1" t="s">
        <v>227</v>
      </c>
      <c r="C290" s="24">
        <v>45325</v>
      </c>
      <c r="D290" s="1" t="s">
        <v>52</v>
      </c>
      <c r="E290" s="15" t="s">
        <v>53</v>
      </c>
      <c r="F290" s="1" t="s">
        <v>35</v>
      </c>
      <c r="H290" s="1" t="s">
        <v>7</v>
      </c>
      <c r="I290" s="1">
        <v>1</v>
      </c>
    </row>
    <row r="291" spans="1:9" x14ac:dyDescent="0.35">
      <c r="A291" s="1">
        <f>ROW()-ROW(BARANGMASUK!$A$3)</f>
        <v>288</v>
      </c>
      <c r="B291" s="1" t="s">
        <v>370</v>
      </c>
      <c r="C291" s="24">
        <v>45404</v>
      </c>
      <c r="D291" s="1" t="s">
        <v>52</v>
      </c>
      <c r="E291" s="15" t="s">
        <v>53</v>
      </c>
      <c r="F291" s="1" t="s">
        <v>35</v>
      </c>
      <c r="H291" s="1" t="s">
        <v>7</v>
      </c>
      <c r="I291" s="1">
        <v>1</v>
      </c>
    </row>
    <row r="292" spans="1:9" x14ac:dyDescent="0.35">
      <c r="A292" s="1">
        <f>ROW()-ROW(BARANGMASUK!$A$3)</f>
        <v>289</v>
      </c>
      <c r="B292" s="1" t="s">
        <v>416</v>
      </c>
      <c r="C292" s="24">
        <v>45469</v>
      </c>
      <c r="D292" s="1" t="s">
        <v>52</v>
      </c>
      <c r="E292" s="15" t="s">
        <v>53</v>
      </c>
      <c r="F292" s="1" t="s">
        <v>35</v>
      </c>
      <c r="G292" s="32">
        <v>765000</v>
      </c>
      <c r="H292" s="1" t="s">
        <v>7</v>
      </c>
      <c r="I292" s="1">
        <v>3</v>
      </c>
    </row>
    <row r="293" spans="1:9" x14ac:dyDescent="0.35">
      <c r="A293" s="1">
        <f>ROW()-ROW(BARANGMASUK!$A$3)</f>
        <v>290</v>
      </c>
      <c r="B293" s="1" t="s">
        <v>228</v>
      </c>
      <c r="C293" s="24">
        <v>45325</v>
      </c>
      <c r="D293" s="1" t="s">
        <v>54</v>
      </c>
      <c r="E293" s="15" t="s">
        <v>55</v>
      </c>
      <c r="F293" s="1" t="s">
        <v>35</v>
      </c>
      <c r="H293" s="1" t="s">
        <v>7</v>
      </c>
      <c r="I293" s="1">
        <v>1</v>
      </c>
    </row>
    <row r="294" spans="1:9" x14ac:dyDescent="0.35">
      <c r="A294" s="1">
        <f>ROW()-ROW(BARANGMASUK!$A$3)</f>
        <v>291</v>
      </c>
      <c r="B294" s="1" t="s">
        <v>371</v>
      </c>
      <c r="C294" s="24">
        <v>45404</v>
      </c>
      <c r="D294" s="1" t="s">
        <v>54</v>
      </c>
      <c r="E294" s="15" t="s">
        <v>55</v>
      </c>
      <c r="F294" s="1" t="s">
        <v>35</v>
      </c>
      <c r="H294" s="1" t="s">
        <v>7</v>
      </c>
      <c r="I294" s="1">
        <v>1</v>
      </c>
    </row>
    <row r="295" spans="1:9" x14ac:dyDescent="0.35">
      <c r="A295" s="1">
        <f>ROW()-ROW(BARANGMASUK!$A$3)</f>
        <v>292</v>
      </c>
      <c r="B295" s="1" t="s">
        <v>414</v>
      </c>
      <c r="C295" s="24">
        <v>45469</v>
      </c>
      <c r="D295" s="1" t="s">
        <v>54</v>
      </c>
      <c r="E295" s="15" t="s">
        <v>55</v>
      </c>
      <c r="F295" s="1" t="s">
        <v>35</v>
      </c>
      <c r="G295" s="32">
        <v>510000</v>
      </c>
      <c r="H295" s="1" t="s">
        <v>7</v>
      </c>
      <c r="I295" s="1">
        <v>2</v>
      </c>
    </row>
    <row r="296" spans="1:9" x14ac:dyDescent="0.35">
      <c r="A296" s="1">
        <f>ROW()-ROW(BARANGMASUK!$A$3)</f>
        <v>293</v>
      </c>
      <c r="B296" s="1" t="s">
        <v>229</v>
      </c>
      <c r="C296" s="24">
        <v>45325</v>
      </c>
      <c r="D296" s="1" t="s">
        <v>56</v>
      </c>
      <c r="E296" s="15" t="s">
        <v>57</v>
      </c>
      <c r="F296" s="1" t="s">
        <v>35</v>
      </c>
      <c r="H296" s="1" t="s">
        <v>7</v>
      </c>
      <c r="I296" s="1">
        <v>1</v>
      </c>
    </row>
    <row r="297" spans="1:9" x14ac:dyDescent="0.35">
      <c r="A297" s="1">
        <f>ROW()-ROW(BARANGMASUK!$A$3)</f>
        <v>294</v>
      </c>
      <c r="B297" s="1" t="s">
        <v>372</v>
      </c>
      <c r="C297" s="24">
        <v>45404</v>
      </c>
      <c r="D297" s="1" t="s">
        <v>56</v>
      </c>
      <c r="E297" s="15" t="s">
        <v>57</v>
      </c>
      <c r="F297" s="1" t="s">
        <v>35</v>
      </c>
      <c r="H297" s="1" t="s">
        <v>7</v>
      </c>
      <c r="I297" s="1">
        <v>1</v>
      </c>
    </row>
    <row r="298" spans="1:9" x14ac:dyDescent="0.35">
      <c r="A298" s="1">
        <f>ROW()-ROW(BARANGMASUK!$A$3)</f>
        <v>295</v>
      </c>
      <c r="B298" s="1" t="s">
        <v>415</v>
      </c>
      <c r="C298" s="24">
        <v>45469</v>
      </c>
      <c r="D298" s="1" t="s">
        <v>56</v>
      </c>
      <c r="E298" s="15" t="s">
        <v>57</v>
      </c>
      <c r="F298" s="1" t="s">
        <v>35</v>
      </c>
      <c r="G298" s="32">
        <v>765000</v>
      </c>
      <c r="H298" s="1" t="s">
        <v>7</v>
      </c>
      <c r="I298" s="1">
        <v>3</v>
      </c>
    </row>
    <row r="299" spans="1:9" x14ac:dyDescent="0.35">
      <c r="A299" s="1">
        <f>ROW()-ROW(BARANGMASUK!$A$3)</f>
        <v>296</v>
      </c>
      <c r="B299" s="1" t="s">
        <v>230</v>
      </c>
      <c r="C299" s="24">
        <v>45325</v>
      </c>
      <c r="D299" s="1" t="s">
        <v>66</v>
      </c>
      <c r="E299" s="15" t="s">
        <v>67</v>
      </c>
      <c r="F299" s="1" t="s">
        <v>35</v>
      </c>
      <c r="H299" s="1" t="s">
        <v>7</v>
      </c>
      <c r="I299" s="1">
        <v>1</v>
      </c>
    </row>
    <row r="300" spans="1:9" x14ac:dyDescent="0.35">
      <c r="A300" s="1">
        <f>ROW()-ROW(BARANGMASUK!$A$3)</f>
        <v>297</v>
      </c>
      <c r="B300" s="1" t="s">
        <v>320</v>
      </c>
      <c r="C300" s="24">
        <v>45353</v>
      </c>
      <c r="D300" s="1" t="s">
        <v>66</v>
      </c>
      <c r="E300" s="15" t="s">
        <v>67</v>
      </c>
      <c r="F300" s="1" t="s">
        <v>35</v>
      </c>
      <c r="H300" s="1" t="s">
        <v>7</v>
      </c>
      <c r="I300" s="1">
        <v>1</v>
      </c>
    </row>
    <row r="301" spans="1:9" x14ac:dyDescent="0.35">
      <c r="A301" s="1">
        <f>ROW()-ROW(BARANGMASUK!$A$3)</f>
        <v>298</v>
      </c>
      <c r="B301" s="1" t="s">
        <v>231</v>
      </c>
      <c r="C301" s="24">
        <v>45325</v>
      </c>
      <c r="D301" s="1" t="s">
        <v>68</v>
      </c>
      <c r="E301" s="15" t="s">
        <v>69</v>
      </c>
      <c r="F301" s="1" t="s">
        <v>35</v>
      </c>
      <c r="H301" s="1" t="s">
        <v>7</v>
      </c>
      <c r="I301" s="1">
        <v>1</v>
      </c>
    </row>
    <row r="302" spans="1:9" x14ac:dyDescent="0.35">
      <c r="A302" s="1">
        <f>ROW()-ROW(BARANGMASUK!$A$3)</f>
        <v>299</v>
      </c>
      <c r="B302" s="1" t="s">
        <v>232</v>
      </c>
      <c r="C302" s="24">
        <v>45325</v>
      </c>
      <c r="D302" s="1" t="s">
        <v>70</v>
      </c>
      <c r="E302" s="15" t="s">
        <v>71</v>
      </c>
      <c r="F302" s="1" t="s">
        <v>35</v>
      </c>
      <c r="H302" s="1" t="s">
        <v>7</v>
      </c>
      <c r="I302" s="1">
        <v>1</v>
      </c>
    </row>
    <row r="303" spans="1:9" x14ac:dyDescent="0.35">
      <c r="A303" s="1">
        <f>ROW()-ROW(BARANGMASUK!$A$3)</f>
        <v>300</v>
      </c>
      <c r="B303" s="1" t="s">
        <v>233</v>
      </c>
      <c r="C303" s="24">
        <v>45325</v>
      </c>
      <c r="D303" s="1" t="s">
        <v>72</v>
      </c>
      <c r="E303" s="15" t="s">
        <v>73</v>
      </c>
      <c r="F303" s="1" t="s">
        <v>35</v>
      </c>
      <c r="H303" s="1" t="s">
        <v>7</v>
      </c>
      <c r="I303" s="1">
        <v>1</v>
      </c>
    </row>
    <row r="304" spans="1:9" x14ac:dyDescent="0.35">
      <c r="A304" s="1">
        <f>ROW()-ROW(BARANGMASUK!$A$3)</f>
        <v>301</v>
      </c>
      <c r="B304" s="1" t="s">
        <v>209</v>
      </c>
      <c r="C304" s="24">
        <v>45299</v>
      </c>
      <c r="D304" s="1" t="s">
        <v>285</v>
      </c>
      <c r="E304" s="15" t="s">
        <v>286</v>
      </c>
      <c r="F304" s="1" t="s">
        <v>35</v>
      </c>
      <c r="H304" s="1" t="s">
        <v>7</v>
      </c>
      <c r="I304" s="1">
        <v>1</v>
      </c>
    </row>
    <row r="305" spans="1:9" x14ac:dyDescent="0.35">
      <c r="A305" s="1">
        <f>ROW()-ROW(BARANGMASUK!$A$3)</f>
        <v>302</v>
      </c>
      <c r="B305" s="1" t="s">
        <v>725</v>
      </c>
      <c r="C305" s="24">
        <v>45577</v>
      </c>
      <c r="D305" s="1" t="s">
        <v>671</v>
      </c>
      <c r="E305" s="15" t="s">
        <v>672</v>
      </c>
      <c r="F305" s="1" t="s">
        <v>30</v>
      </c>
      <c r="G305" s="32">
        <v>34000</v>
      </c>
      <c r="H305" s="1" t="s">
        <v>7</v>
      </c>
      <c r="I305" s="1">
        <v>1</v>
      </c>
    </row>
    <row r="306" spans="1:9" x14ac:dyDescent="0.35">
      <c r="A306" s="1">
        <f>ROW()-ROW(BARANGMASUK!$A$3)</f>
        <v>303</v>
      </c>
      <c r="B306" s="1" t="s">
        <v>408</v>
      </c>
      <c r="C306" s="24">
        <v>45452</v>
      </c>
      <c r="D306" s="1" t="s">
        <v>398</v>
      </c>
      <c r="E306" s="15" t="s">
        <v>399</v>
      </c>
      <c r="F306" s="1" t="s">
        <v>30</v>
      </c>
      <c r="G306" s="32">
        <v>168000</v>
      </c>
      <c r="H306" s="1" t="s">
        <v>7</v>
      </c>
      <c r="I306" s="1">
        <v>12</v>
      </c>
    </row>
    <row r="307" spans="1:9" x14ac:dyDescent="0.35">
      <c r="A307" s="1">
        <f>ROW()-ROW(BARANGMASUK!$A$3)</f>
        <v>304</v>
      </c>
      <c r="B307" s="1" t="s">
        <v>409</v>
      </c>
      <c r="C307" s="24">
        <v>45452</v>
      </c>
      <c r="D307" s="1" t="s">
        <v>400</v>
      </c>
      <c r="E307" s="15" t="s">
        <v>401</v>
      </c>
      <c r="F307" s="1" t="s">
        <v>30</v>
      </c>
      <c r="G307" s="32">
        <v>66000</v>
      </c>
      <c r="H307" s="1" t="s">
        <v>7</v>
      </c>
      <c r="I307" s="1">
        <v>4</v>
      </c>
    </row>
    <row r="308" spans="1:9" x14ac:dyDescent="0.35">
      <c r="A308" s="1">
        <f>ROW()-ROW(BARANGMASUK!$A$3)</f>
        <v>305</v>
      </c>
      <c r="B308" s="1" t="s">
        <v>274</v>
      </c>
      <c r="C308" s="24">
        <v>45325</v>
      </c>
      <c r="D308" s="1" t="s">
        <v>124</v>
      </c>
      <c r="E308" s="15" t="s">
        <v>125</v>
      </c>
      <c r="F308" s="1" t="s">
        <v>30</v>
      </c>
      <c r="H308" s="1" t="s">
        <v>7</v>
      </c>
      <c r="I308" s="1">
        <v>1</v>
      </c>
    </row>
    <row r="309" spans="1:9" x14ac:dyDescent="0.35">
      <c r="A309" s="1">
        <f>ROW()-ROW(BARANGMASUK!$A$3)</f>
        <v>306</v>
      </c>
      <c r="B309" s="1" t="s">
        <v>599</v>
      </c>
      <c r="C309" s="24">
        <v>45577</v>
      </c>
      <c r="D309" s="1" t="s">
        <v>596</v>
      </c>
      <c r="E309" s="15" t="s">
        <v>597</v>
      </c>
      <c r="F309" s="1" t="s">
        <v>30</v>
      </c>
      <c r="G309" s="32">
        <v>834300</v>
      </c>
      <c r="H309" s="1" t="s">
        <v>7</v>
      </c>
      <c r="I309" s="1">
        <v>3</v>
      </c>
    </row>
    <row r="310" spans="1:9" x14ac:dyDescent="0.35">
      <c r="A310" s="1">
        <f>ROW()-ROW(BARANGMASUK!$A$3)</f>
        <v>307</v>
      </c>
      <c r="B310" s="1" t="s">
        <v>796</v>
      </c>
      <c r="C310" s="24">
        <v>45630</v>
      </c>
      <c r="D310" s="1" t="s">
        <v>790</v>
      </c>
      <c r="E310" s="15" t="s">
        <v>791</v>
      </c>
      <c r="F310" s="1" t="s">
        <v>30</v>
      </c>
      <c r="G310" s="32">
        <v>400000</v>
      </c>
      <c r="H310" s="1" t="s">
        <v>7</v>
      </c>
      <c r="I310" s="1">
        <v>1</v>
      </c>
    </row>
    <row r="311" spans="1:9" x14ac:dyDescent="0.35">
      <c r="A311" s="1">
        <f>ROW()-ROW(BARANGMASUK!$A$3)</f>
        <v>308</v>
      </c>
      <c r="B311" s="1" t="s">
        <v>236</v>
      </c>
      <c r="C311" s="24">
        <v>45325</v>
      </c>
      <c r="D311" s="1" t="s">
        <v>196</v>
      </c>
      <c r="E311" s="15" t="s">
        <v>197</v>
      </c>
      <c r="F311" s="1" t="s">
        <v>30</v>
      </c>
      <c r="H311" s="1" t="s">
        <v>7</v>
      </c>
      <c r="I311" s="1">
        <v>1</v>
      </c>
    </row>
    <row r="312" spans="1:9" x14ac:dyDescent="0.35">
      <c r="A312" s="1">
        <f>ROW()-ROW(BARANGMASUK!$A$3)</f>
        <v>309</v>
      </c>
      <c r="B312" s="1" t="s">
        <v>841</v>
      </c>
      <c r="C312" s="24">
        <v>45688</v>
      </c>
      <c r="D312" s="1" t="s">
        <v>25</v>
      </c>
      <c r="E312" s="15" t="s">
        <v>50</v>
      </c>
      <c r="F312" s="1" t="s">
        <v>27</v>
      </c>
      <c r="G312" s="32">
        <v>295000</v>
      </c>
      <c r="H312" s="1" t="s">
        <v>7</v>
      </c>
      <c r="I312" s="1">
        <v>5</v>
      </c>
    </row>
    <row r="313" spans="1:9" x14ac:dyDescent="0.35">
      <c r="A313" s="1">
        <f>ROW()-ROW(BARANGMASUK!$A$3)</f>
        <v>310</v>
      </c>
      <c r="B313" s="1" t="s">
        <v>844</v>
      </c>
      <c r="C313" s="24">
        <v>45677</v>
      </c>
      <c r="D313" s="1" t="s">
        <v>25</v>
      </c>
      <c r="E313" s="15" t="s">
        <v>50</v>
      </c>
      <c r="F313" s="1" t="s">
        <v>27</v>
      </c>
      <c r="G313" s="32">
        <v>270000</v>
      </c>
      <c r="H313" s="1" t="s">
        <v>7</v>
      </c>
      <c r="I313" s="1">
        <v>5</v>
      </c>
    </row>
    <row r="314" spans="1:9" x14ac:dyDescent="0.35">
      <c r="A314" s="1">
        <f>ROW()-ROW(BARANGMASUK!$A$3)</f>
        <v>311</v>
      </c>
      <c r="B314" s="1" t="s">
        <v>848</v>
      </c>
      <c r="C314" s="24">
        <v>45700</v>
      </c>
      <c r="D314" s="1" t="s">
        <v>25</v>
      </c>
      <c r="E314" s="15" t="s">
        <v>50</v>
      </c>
      <c r="F314" s="1" t="s">
        <v>27</v>
      </c>
      <c r="G314" s="32">
        <v>275000</v>
      </c>
      <c r="H314" s="1" t="s">
        <v>7</v>
      </c>
      <c r="I314" s="1">
        <v>5</v>
      </c>
    </row>
    <row r="315" spans="1:9" x14ac:dyDescent="0.35">
      <c r="A315" s="1">
        <f>ROW()-ROW(BARANGMASUK!$A$3)</f>
        <v>312</v>
      </c>
      <c r="B315" s="1" t="s">
        <v>849</v>
      </c>
      <c r="C315" s="24">
        <v>45727</v>
      </c>
      <c r="D315" s="1" t="s">
        <v>25</v>
      </c>
      <c r="E315" s="15" t="s">
        <v>50</v>
      </c>
      <c r="F315" s="1" t="s">
        <v>27</v>
      </c>
      <c r="G315" s="32">
        <v>250000</v>
      </c>
      <c r="H315" s="1" t="s">
        <v>7</v>
      </c>
      <c r="I315" s="1">
        <v>5</v>
      </c>
    </row>
    <row r="316" spans="1:9" x14ac:dyDescent="0.35">
      <c r="A316" s="1">
        <f>ROW()-ROW(BARANGMASUK!$A$3)</f>
        <v>313</v>
      </c>
      <c r="B316" s="1" t="s">
        <v>850</v>
      </c>
      <c r="C316" s="24">
        <v>45726</v>
      </c>
      <c r="D316" s="1" t="s">
        <v>138</v>
      </c>
      <c r="E316" s="15" t="s">
        <v>139</v>
      </c>
      <c r="F316" s="1" t="s">
        <v>30</v>
      </c>
      <c r="G316" s="32">
        <v>15000</v>
      </c>
      <c r="H316" s="1" t="s">
        <v>7</v>
      </c>
      <c r="I316" s="1">
        <v>1</v>
      </c>
    </row>
    <row r="317" spans="1:9" x14ac:dyDescent="0.35">
      <c r="A317" s="1">
        <f>ROW()-ROW(BARANGMASUK!$A$3)</f>
        <v>314</v>
      </c>
      <c r="B317" s="1" t="s">
        <v>851</v>
      </c>
      <c r="C317" s="24">
        <v>45727</v>
      </c>
      <c r="D317" s="1" t="s">
        <v>60</v>
      </c>
      <c r="E317" s="15" t="s">
        <v>61</v>
      </c>
      <c r="F317" s="1" t="s">
        <v>35</v>
      </c>
      <c r="G317" s="32">
        <v>125000</v>
      </c>
      <c r="H317" s="1" t="s">
        <v>7</v>
      </c>
      <c r="I317" s="1">
        <v>1</v>
      </c>
    </row>
    <row r="318" spans="1:9" x14ac:dyDescent="0.35">
      <c r="A318" s="1">
        <f>ROW()-ROW(BARANGMASUK!$A$3)</f>
        <v>315</v>
      </c>
      <c r="B318" s="1" t="s">
        <v>852</v>
      </c>
      <c r="C318" s="24">
        <v>45731</v>
      </c>
      <c r="D318" s="1" t="s">
        <v>402</v>
      </c>
      <c r="E318" s="15" t="s">
        <v>403</v>
      </c>
      <c r="F318" s="1" t="s">
        <v>41</v>
      </c>
      <c r="G318" s="32">
        <v>410000</v>
      </c>
      <c r="H318" s="1" t="s">
        <v>7</v>
      </c>
      <c r="I318" s="1">
        <v>5</v>
      </c>
    </row>
    <row r="319" spans="1:9" x14ac:dyDescent="0.35">
      <c r="A319" s="1">
        <f>ROW()-ROW(BARANGMASUK!$A$3)</f>
        <v>316</v>
      </c>
      <c r="B319" s="1" t="s">
        <v>853</v>
      </c>
      <c r="C319" s="24">
        <v>45731</v>
      </c>
      <c r="D319" s="1" t="s">
        <v>308</v>
      </c>
      <c r="E319" s="15" t="s">
        <v>309</v>
      </c>
      <c r="F319" s="1" t="s">
        <v>35</v>
      </c>
      <c r="G319" s="32">
        <v>129000</v>
      </c>
      <c r="H319" s="1" t="s">
        <v>7</v>
      </c>
      <c r="I319" s="1">
        <v>1</v>
      </c>
    </row>
    <row r="320" spans="1:9" x14ac:dyDescent="0.35">
      <c r="A320" s="1">
        <f>ROW()-ROW(BARANGMASUK!$A$3)</f>
        <v>317</v>
      </c>
      <c r="B320" s="1" t="s">
        <v>854</v>
      </c>
      <c r="C320" s="24">
        <v>45731</v>
      </c>
      <c r="D320" s="1" t="s">
        <v>310</v>
      </c>
      <c r="E320" s="15" t="s">
        <v>311</v>
      </c>
      <c r="F320" s="1" t="s">
        <v>35</v>
      </c>
      <c r="G320" s="32">
        <v>129000</v>
      </c>
      <c r="H320" s="1" t="s">
        <v>7</v>
      </c>
      <c r="I320" s="1">
        <v>1</v>
      </c>
    </row>
    <row r="321" spans="1:9" x14ac:dyDescent="0.35">
      <c r="A321" s="1">
        <f>ROW()-ROW(BARANGMASUK!$A$3)</f>
        <v>318</v>
      </c>
      <c r="B321" s="1" t="s">
        <v>855</v>
      </c>
      <c r="C321" s="24">
        <v>45731</v>
      </c>
      <c r="D321" s="1" t="s">
        <v>312</v>
      </c>
      <c r="E321" s="15" t="s">
        <v>313</v>
      </c>
      <c r="F321" s="1" t="s">
        <v>35</v>
      </c>
      <c r="G321" s="32">
        <v>129000</v>
      </c>
      <c r="H321" s="1" t="s">
        <v>7</v>
      </c>
      <c r="I321" s="1">
        <v>1</v>
      </c>
    </row>
    <row r="322" spans="1:9" x14ac:dyDescent="0.35">
      <c r="A322" s="1">
        <f>ROW()-ROW(BARANGMASUK!$A$3)</f>
        <v>319</v>
      </c>
      <c r="B322" s="1" t="s">
        <v>855</v>
      </c>
      <c r="C322" s="24">
        <v>45731</v>
      </c>
      <c r="D322" s="1" t="s">
        <v>314</v>
      </c>
      <c r="E322" s="15" t="s">
        <v>315</v>
      </c>
      <c r="F322" s="1" t="s">
        <v>35</v>
      </c>
      <c r="G322" s="32">
        <v>129000</v>
      </c>
      <c r="H322" s="1" t="s">
        <v>7</v>
      </c>
      <c r="I322" s="1">
        <v>1</v>
      </c>
    </row>
    <row r="323" spans="1:9" x14ac:dyDescent="0.35">
      <c r="A323" s="1">
        <f>ROW()-ROW(BARANGMASUK!$A$3)</f>
        <v>320</v>
      </c>
      <c r="B323" s="1" t="s">
        <v>856</v>
      </c>
      <c r="C323" s="24">
        <v>45731</v>
      </c>
      <c r="D323" s="1" t="s">
        <v>398</v>
      </c>
      <c r="E323" s="15" t="s">
        <v>399</v>
      </c>
      <c r="F323" s="1" t="s">
        <v>30</v>
      </c>
      <c r="G323" s="32">
        <v>168000</v>
      </c>
      <c r="H323" s="1" t="s">
        <v>7</v>
      </c>
      <c r="I323" s="1">
        <v>12</v>
      </c>
    </row>
    <row r="324" spans="1:9" x14ac:dyDescent="0.35">
      <c r="A324" s="1">
        <f>ROW()-ROW(BARANGMASUK!$A$3)</f>
        <v>321</v>
      </c>
      <c r="B324" s="1" t="s">
        <v>871</v>
      </c>
      <c r="C324" s="24">
        <v>45731</v>
      </c>
      <c r="D324" s="1" t="s">
        <v>869</v>
      </c>
      <c r="E324" s="15" t="s">
        <v>870</v>
      </c>
      <c r="F324" s="1" t="s">
        <v>304</v>
      </c>
      <c r="G324" s="32">
        <v>20000</v>
      </c>
      <c r="H324" s="1" t="s">
        <v>7</v>
      </c>
      <c r="I324" s="1">
        <v>1</v>
      </c>
    </row>
    <row r="325" spans="1:9" x14ac:dyDescent="0.35">
      <c r="A325" s="1">
        <f>ROW()-ROW(BARANGMASUK!$A$3)</f>
        <v>322</v>
      </c>
      <c r="B325" s="1" t="s">
        <v>872</v>
      </c>
      <c r="C325" s="24">
        <v>45731</v>
      </c>
      <c r="D325" s="1" t="s">
        <v>867</v>
      </c>
      <c r="E325" s="15" t="s">
        <v>868</v>
      </c>
      <c r="F325" s="1" t="s">
        <v>106</v>
      </c>
      <c r="G325" s="32">
        <v>56000</v>
      </c>
      <c r="H325" s="1" t="s">
        <v>7</v>
      </c>
      <c r="I325" s="1">
        <v>2</v>
      </c>
    </row>
    <row r="326" spans="1:9" x14ac:dyDescent="0.35">
      <c r="A326" s="1">
        <f>ROW()-ROW(BARANGMASUK!$A$3)</f>
        <v>323</v>
      </c>
      <c r="B326" s="1" t="s">
        <v>873</v>
      </c>
      <c r="C326" s="24">
        <v>45731</v>
      </c>
      <c r="D326" s="1" t="s">
        <v>634</v>
      </c>
      <c r="E326" s="15" t="s">
        <v>635</v>
      </c>
      <c r="F326" s="1" t="s">
        <v>30</v>
      </c>
      <c r="G326" s="32">
        <v>19500</v>
      </c>
      <c r="H326" s="1" t="s">
        <v>7</v>
      </c>
      <c r="I326" s="1">
        <v>1</v>
      </c>
    </row>
    <row r="327" spans="1:9" x14ac:dyDescent="0.35">
      <c r="A327" s="1">
        <f>ROW()-ROW(BARANGMASUK!$A$3)</f>
        <v>324</v>
      </c>
      <c r="B327" s="1" t="s">
        <v>874</v>
      </c>
      <c r="C327" s="24">
        <v>45731</v>
      </c>
      <c r="D327" s="1" t="s">
        <v>865</v>
      </c>
      <c r="E327" s="15" t="s">
        <v>866</v>
      </c>
      <c r="F327" s="1" t="s">
        <v>562</v>
      </c>
      <c r="G327" s="32">
        <v>8500</v>
      </c>
      <c r="H327" s="1" t="s">
        <v>7</v>
      </c>
      <c r="I327" s="1">
        <v>1</v>
      </c>
    </row>
    <row r="328" spans="1:9" x14ac:dyDescent="0.35">
      <c r="A328" s="1">
        <f>ROW()-ROW(BARANGMASUK!$A$3)</f>
        <v>325</v>
      </c>
      <c r="B328" s="1" t="s">
        <v>875</v>
      </c>
      <c r="C328" s="24">
        <v>45731</v>
      </c>
      <c r="D328" s="1" t="s">
        <v>431</v>
      </c>
      <c r="E328" s="15" t="s">
        <v>432</v>
      </c>
      <c r="F328" s="1" t="s">
        <v>30</v>
      </c>
      <c r="G328" s="32">
        <v>33000</v>
      </c>
      <c r="H328" s="1" t="s">
        <v>7</v>
      </c>
      <c r="I328" s="1">
        <v>1</v>
      </c>
    </row>
    <row r="329" spans="1:9" x14ac:dyDescent="0.35">
      <c r="A329" s="1">
        <f>ROW()-ROW(BARANGMASUK!$A$3)</f>
        <v>326</v>
      </c>
      <c r="B329" s="1" t="s">
        <v>876</v>
      </c>
      <c r="C329" s="24">
        <v>45731</v>
      </c>
      <c r="D329" s="1" t="s">
        <v>863</v>
      </c>
      <c r="E329" s="15" t="s">
        <v>864</v>
      </c>
      <c r="F329" s="1" t="s">
        <v>562</v>
      </c>
      <c r="G329" s="32">
        <v>10000</v>
      </c>
      <c r="H329" s="1" t="s">
        <v>7</v>
      </c>
      <c r="I329" s="1">
        <v>2</v>
      </c>
    </row>
    <row r="330" spans="1:9" x14ac:dyDescent="0.35">
      <c r="A330" s="1">
        <f>ROW()-ROW(BARANGMASUK!$A$3)</f>
        <v>327</v>
      </c>
      <c r="B330" s="1" t="s">
        <v>877</v>
      </c>
      <c r="C330" s="24">
        <v>45731</v>
      </c>
      <c r="D330" s="1" t="s">
        <v>638</v>
      </c>
      <c r="E330" s="15" t="s">
        <v>639</v>
      </c>
      <c r="F330" s="1" t="s">
        <v>562</v>
      </c>
      <c r="G330" s="32">
        <v>42000</v>
      </c>
      <c r="H330" s="1" t="s">
        <v>7</v>
      </c>
      <c r="I330" s="1">
        <v>4</v>
      </c>
    </row>
    <row r="331" spans="1:9" x14ac:dyDescent="0.35">
      <c r="A331" s="1">
        <f>ROW()-ROW(BARANGMASUK!$A$3)</f>
        <v>328</v>
      </c>
      <c r="B331" s="1" t="s">
        <v>878</v>
      </c>
      <c r="C331" s="24">
        <v>45731</v>
      </c>
      <c r="D331" s="1" t="s">
        <v>861</v>
      </c>
      <c r="E331" s="15" t="s">
        <v>862</v>
      </c>
      <c r="F331" s="1" t="s">
        <v>562</v>
      </c>
      <c r="G331" s="32">
        <v>28000</v>
      </c>
      <c r="H331" s="1" t="s">
        <v>7</v>
      </c>
      <c r="I331" s="1">
        <v>4</v>
      </c>
    </row>
    <row r="332" spans="1:9" x14ac:dyDescent="0.35">
      <c r="A332" s="1">
        <f>ROW()-ROW(BARANGMASUK!$A$3)</f>
        <v>329</v>
      </c>
      <c r="B332" s="1" t="s">
        <v>879</v>
      </c>
      <c r="C332" s="24">
        <v>45731</v>
      </c>
      <c r="D332" s="1" t="s">
        <v>859</v>
      </c>
      <c r="E332" s="15" t="s">
        <v>860</v>
      </c>
      <c r="F332" s="1" t="s">
        <v>562</v>
      </c>
      <c r="G332" s="32">
        <v>6500</v>
      </c>
      <c r="H332" s="1" t="s">
        <v>7</v>
      </c>
      <c r="I332" s="1">
        <v>1</v>
      </c>
    </row>
    <row r="333" spans="1:9" x14ac:dyDescent="0.35">
      <c r="A333" s="1">
        <f>ROW()-ROW(BARANGMASUK!$A$3)</f>
        <v>330</v>
      </c>
      <c r="B333" s="1" t="s">
        <v>880</v>
      </c>
      <c r="C333" s="24">
        <v>45731</v>
      </c>
      <c r="D333" s="1" t="s">
        <v>857</v>
      </c>
      <c r="E333" s="15" t="s">
        <v>858</v>
      </c>
      <c r="F333" s="1" t="s">
        <v>562</v>
      </c>
      <c r="G333" s="32">
        <v>10000</v>
      </c>
      <c r="H333" s="1" t="s">
        <v>7</v>
      </c>
      <c r="I333" s="1">
        <v>2</v>
      </c>
    </row>
    <row r="334" spans="1:9" x14ac:dyDescent="0.35">
      <c r="A334" s="1">
        <f>ROW()-ROW(BARANGMASUK!$A$3)</f>
        <v>331</v>
      </c>
      <c r="B334" s="1" t="s">
        <v>908</v>
      </c>
      <c r="C334" s="24">
        <v>45758</v>
      </c>
      <c r="D334" s="1" t="s">
        <v>25</v>
      </c>
      <c r="E334" s="15" t="s">
        <v>50</v>
      </c>
      <c r="F334" s="1" t="s">
        <v>27</v>
      </c>
      <c r="G334" s="32">
        <v>290000</v>
      </c>
      <c r="H334" s="1" t="s">
        <v>7</v>
      </c>
      <c r="I334" s="1">
        <v>5</v>
      </c>
    </row>
    <row r="335" spans="1:9" x14ac:dyDescent="0.35">
      <c r="A335" s="1">
        <f>ROW()-ROW(BARANGMASUK!$A$3)</f>
        <v>332</v>
      </c>
      <c r="B335" s="1" t="s">
        <v>912</v>
      </c>
      <c r="C335" s="24">
        <v>45741</v>
      </c>
      <c r="D335" s="1" t="s">
        <v>909</v>
      </c>
      <c r="E335" s="15" t="s">
        <v>910</v>
      </c>
      <c r="F335" s="1" t="s">
        <v>911</v>
      </c>
      <c r="G335" s="32">
        <v>30000</v>
      </c>
      <c r="H335" s="1" t="s">
        <v>7</v>
      </c>
      <c r="I335" s="1">
        <v>2</v>
      </c>
    </row>
    <row r="336" spans="1:9" x14ac:dyDescent="0.35">
      <c r="A336" s="1">
        <f>ROW()-ROW(BARANGMASUK!$A$3)</f>
        <v>333</v>
      </c>
      <c r="B336" s="1" t="s">
        <v>913</v>
      </c>
      <c r="C336" s="24">
        <v>45740</v>
      </c>
      <c r="D336" s="1" t="s">
        <v>42</v>
      </c>
      <c r="E336" s="15" t="s">
        <v>43</v>
      </c>
      <c r="F336" s="1" t="s">
        <v>30</v>
      </c>
      <c r="G336" s="32">
        <v>30000</v>
      </c>
      <c r="H336" s="1" t="s">
        <v>7</v>
      </c>
      <c r="I336" s="1">
        <v>2</v>
      </c>
    </row>
    <row r="337" spans="1:9" x14ac:dyDescent="0.35">
      <c r="A337" s="1">
        <f>ROW()-ROW(BARANGMASUK!$A$3)</f>
        <v>334</v>
      </c>
      <c r="B337" s="1" t="s">
        <v>923</v>
      </c>
      <c r="C337" s="24">
        <v>45788</v>
      </c>
      <c r="D337" s="1" t="s">
        <v>25</v>
      </c>
      <c r="E337" s="15" t="s">
        <v>50</v>
      </c>
      <c r="F337" s="1" t="s">
        <v>27</v>
      </c>
      <c r="G337" s="32">
        <v>468000</v>
      </c>
      <c r="H337" s="1" t="s">
        <v>7</v>
      </c>
      <c r="I337" s="1">
        <v>10</v>
      </c>
    </row>
    <row r="338" spans="1:9" x14ac:dyDescent="0.35">
      <c r="A338" s="1">
        <f>ROW()-ROW(BARANGMASUK!$A$3)</f>
        <v>335</v>
      </c>
      <c r="B338" s="1" t="s">
        <v>924</v>
      </c>
      <c r="C338" s="24">
        <v>45788</v>
      </c>
      <c r="D338" s="1" t="s">
        <v>103</v>
      </c>
      <c r="E338" s="15" t="s">
        <v>104</v>
      </c>
      <c r="F338" s="1" t="s">
        <v>106</v>
      </c>
      <c r="G338" s="32">
        <v>52000</v>
      </c>
      <c r="H338" s="1" t="s">
        <v>7</v>
      </c>
      <c r="I338" s="1">
        <v>1</v>
      </c>
    </row>
    <row r="339" spans="1:9" x14ac:dyDescent="0.35">
      <c r="A339" s="1">
        <f>ROW()-ROW(BARANGMASUK!$A$3)</f>
        <v>336</v>
      </c>
      <c r="B339" s="1" t="s">
        <v>925</v>
      </c>
      <c r="C339" s="24">
        <v>45788</v>
      </c>
      <c r="D339" s="1" t="s">
        <v>198</v>
      </c>
      <c r="E339" s="15" t="s">
        <v>199</v>
      </c>
      <c r="F339" s="1" t="s">
        <v>106</v>
      </c>
      <c r="G339" s="32">
        <v>26000</v>
      </c>
      <c r="H339" s="1" t="s">
        <v>7</v>
      </c>
      <c r="I339" s="1">
        <v>2</v>
      </c>
    </row>
    <row r="340" spans="1:9" x14ac:dyDescent="0.35">
      <c r="A340" s="1">
        <f>ROW()-ROW(BARANGMASUK!$A$3)</f>
        <v>337</v>
      </c>
      <c r="B340" s="1" t="s">
        <v>926</v>
      </c>
      <c r="C340" s="24">
        <v>45788</v>
      </c>
      <c r="D340" s="1" t="s">
        <v>119</v>
      </c>
      <c r="E340" s="15" t="s">
        <v>120</v>
      </c>
      <c r="F340" s="1" t="s">
        <v>521</v>
      </c>
      <c r="G340" s="32">
        <v>10000</v>
      </c>
      <c r="H340" s="1" t="s">
        <v>7</v>
      </c>
      <c r="I340" s="1">
        <v>1</v>
      </c>
    </row>
    <row r="341" spans="1:9" x14ac:dyDescent="0.35">
      <c r="A341" s="1">
        <f>ROW()-ROW(BARANGMASUK!$A$3)</f>
        <v>338</v>
      </c>
      <c r="B341" s="1" t="s">
        <v>933</v>
      </c>
      <c r="C341" s="24">
        <v>45788</v>
      </c>
      <c r="D341" s="1" t="s">
        <v>927</v>
      </c>
      <c r="E341" s="15" t="s">
        <v>928</v>
      </c>
      <c r="F341" s="1" t="s">
        <v>47</v>
      </c>
      <c r="G341" s="32">
        <v>5000</v>
      </c>
      <c r="H341" s="1" t="s">
        <v>7</v>
      </c>
      <c r="I341" s="1">
        <v>5</v>
      </c>
    </row>
    <row r="342" spans="1:9" x14ac:dyDescent="0.35">
      <c r="A342" s="1">
        <f>ROW()-ROW(BARANGMASUK!$A$3)</f>
        <v>339</v>
      </c>
      <c r="B342" s="1" t="s">
        <v>934</v>
      </c>
      <c r="C342" s="24">
        <v>45788</v>
      </c>
      <c r="D342" s="1" t="s">
        <v>929</v>
      </c>
      <c r="E342" s="15" t="s">
        <v>930</v>
      </c>
      <c r="F342" s="1" t="s">
        <v>47</v>
      </c>
      <c r="G342" s="32">
        <v>7500</v>
      </c>
      <c r="H342" s="1" t="s">
        <v>7</v>
      </c>
      <c r="I342" s="1">
        <v>5</v>
      </c>
    </row>
    <row r="343" spans="1:9" x14ac:dyDescent="0.35">
      <c r="A343" s="1">
        <f>ROW()-ROW(BARANGMASUK!$A$3)</f>
        <v>340</v>
      </c>
      <c r="B343" s="1" t="s">
        <v>935</v>
      </c>
      <c r="C343" s="24">
        <v>45788</v>
      </c>
      <c r="D343" s="1" t="s">
        <v>931</v>
      </c>
      <c r="E343" s="15" t="s">
        <v>932</v>
      </c>
      <c r="F343" s="1" t="s">
        <v>435</v>
      </c>
      <c r="G343" s="32">
        <v>42000</v>
      </c>
      <c r="H343" s="1" t="s">
        <v>7</v>
      </c>
      <c r="I343" s="1">
        <v>2</v>
      </c>
    </row>
    <row r="344" spans="1:9" x14ac:dyDescent="0.35">
      <c r="A344" s="1">
        <f>ROW()-ROW(BARANGMASUK!$A$3)</f>
        <v>341</v>
      </c>
      <c r="B344" s="1" t="s">
        <v>944</v>
      </c>
      <c r="C344" s="24">
        <v>45788</v>
      </c>
      <c r="D344" s="1" t="s">
        <v>936</v>
      </c>
      <c r="E344" s="15" t="s">
        <v>937</v>
      </c>
      <c r="F344" s="1" t="s">
        <v>35</v>
      </c>
      <c r="G344" s="32">
        <v>363000</v>
      </c>
      <c r="H344" s="1" t="s">
        <v>7</v>
      </c>
      <c r="I344" s="1">
        <v>2</v>
      </c>
    </row>
    <row r="345" spans="1:9" x14ac:dyDescent="0.35">
      <c r="A345" s="1">
        <f>ROW()-ROW(BARANGMASUK!$A$3)</f>
        <v>342</v>
      </c>
      <c r="B345" s="1" t="s">
        <v>945</v>
      </c>
      <c r="C345" s="24">
        <v>45788</v>
      </c>
      <c r="D345" s="1" t="s">
        <v>28</v>
      </c>
      <c r="E345" s="15" t="s">
        <v>51</v>
      </c>
      <c r="F345" s="1" t="s">
        <v>35</v>
      </c>
      <c r="G345" s="32">
        <v>620000</v>
      </c>
      <c r="H345" s="1" t="s">
        <v>7</v>
      </c>
      <c r="I345" s="1">
        <v>2</v>
      </c>
    </row>
    <row r="346" spans="1:9" x14ac:dyDescent="0.35">
      <c r="A346" s="1">
        <f>ROW()-ROW(BARANGMASUK!$A$3)</f>
        <v>343</v>
      </c>
      <c r="B346" s="1" t="s">
        <v>946</v>
      </c>
      <c r="C346" s="24">
        <v>45788</v>
      </c>
      <c r="D346" s="1" t="s">
        <v>52</v>
      </c>
      <c r="E346" s="15" t="s">
        <v>53</v>
      </c>
      <c r="F346" s="1" t="s">
        <v>35</v>
      </c>
      <c r="G346" s="32">
        <v>255000</v>
      </c>
      <c r="H346" s="1" t="s">
        <v>7</v>
      </c>
      <c r="I346" s="1">
        <v>1</v>
      </c>
    </row>
    <row r="347" spans="1:9" x14ac:dyDescent="0.35">
      <c r="A347" s="1">
        <f>ROW()-ROW(BARANGMASUK!$A$3)</f>
        <v>344</v>
      </c>
      <c r="B347" s="1" t="s">
        <v>947</v>
      </c>
      <c r="C347" s="24">
        <v>45788</v>
      </c>
      <c r="D347" s="1" t="s">
        <v>741</v>
      </c>
      <c r="E347" s="15" t="s">
        <v>742</v>
      </c>
      <c r="F347" s="1" t="s">
        <v>106</v>
      </c>
      <c r="G347" s="32">
        <v>63000</v>
      </c>
      <c r="H347" s="1" t="s">
        <v>7</v>
      </c>
      <c r="I347" s="1">
        <v>2</v>
      </c>
    </row>
    <row r="348" spans="1:9" x14ac:dyDescent="0.35">
      <c r="A348" s="1">
        <f>ROW()-ROW(BARANGMASUK!$A$3)</f>
        <v>345</v>
      </c>
      <c r="B348" s="1" t="s">
        <v>950</v>
      </c>
      <c r="C348" s="24">
        <v>45788</v>
      </c>
      <c r="D348" s="1" t="s">
        <v>948</v>
      </c>
      <c r="E348" s="15" t="s">
        <v>949</v>
      </c>
      <c r="F348" s="1" t="s">
        <v>106</v>
      </c>
      <c r="G348" s="32">
        <v>96000</v>
      </c>
      <c r="H348" s="1" t="s">
        <v>7</v>
      </c>
      <c r="I348" s="1">
        <v>3</v>
      </c>
    </row>
    <row r="349" spans="1:9" x14ac:dyDescent="0.35">
      <c r="A349" s="1">
        <f>ROW()-ROW(BARANGMASUK!$A$3)</f>
        <v>346</v>
      </c>
      <c r="B349" s="1" t="s">
        <v>951</v>
      </c>
      <c r="C349" s="24">
        <v>45788</v>
      </c>
      <c r="D349" s="1" t="s">
        <v>440</v>
      </c>
      <c r="E349" s="15" t="s">
        <v>441</v>
      </c>
      <c r="F349" s="1" t="s">
        <v>41</v>
      </c>
      <c r="G349" s="32">
        <v>7500</v>
      </c>
      <c r="H349" s="1" t="s">
        <v>7</v>
      </c>
      <c r="I349" s="1">
        <v>1</v>
      </c>
    </row>
    <row r="350" spans="1:9" x14ac:dyDescent="0.35">
      <c r="A350" s="1">
        <f>ROW()-ROW(BARANGMASUK!$A$3)</f>
        <v>347</v>
      </c>
      <c r="B350" s="1" t="s">
        <v>952</v>
      </c>
      <c r="C350" s="24">
        <v>45788</v>
      </c>
      <c r="D350" s="1" t="s">
        <v>743</v>
      </c>
      <c r="E350" s="15" t="s">
        <v>744</v>
      </c>
      <c r="F350" s="1" t="s">
        <v>304</v>
      </c>
      <c r="G350" s="32">
        <v>11000</v>
      </c>
      <c r="H350" s="1" t="s">
        <v>7</v>
      </c>
      <c r="I350" s="1">
        <v>1</v>
      </c>
    </row>
    <row r="351" spans="1:9" x14ac:dyDescent="0.35">
      <c r="A351" s="1">
        <f>ROW()-ROW(BARANGMASUK!$A$3)</f>
        <v>348</v>
      </c>
      <c r="B351" s="1" t="s">
        <v>953</v>
      </c>
      <c r="C351" s="24">
        <v>45788</v>
      </c>
      <c r="D351" s="1" t="s">
        <v>739</v>
      </c>
      <c r="E351" s="15" t="s">
        <v>740</v>
      </c>
      <c r="F351" s="1" t="s">
        <v>106</v>
      </c>
      <c r="G351" s="32">
        <v>49500</v>
      </c>
      <c r="H351" s="1" t="s">
        <v>7</v>
      </c>
      <c r="I351" s="1">
        <v>1</v>
      </c>
    </row>
    <row r="352" spans="1:9" x14ac:dyDescent="0.35">
      <c r="A352" s="1">
        <f>ROW()-ROW(BARANGMASUK!$A$3)</f>
        <v>349</v>
      </c>
      <c r="B352" s="1" t="s">
        <v>954</v>
      </c>
      <c r="C352" s="24">
        <v>45788</v>
      </c>
      <c r="D352" s="1" t="s">
        <v>119</v>
      </c>
      <c r="E352" s="15" t="s">
        <v>120</v>
      </c>
      <c r="F352" s="1" t="s">
        <v>521</v>
      </c>
      <c r="G352" s="32">
        <v>10000</v>
      </c>
      <c r="H352" s="1" t="s">
        <v>7</v>
      </c>
      <c r="I352" s="1">
        <v>1</v>
      </c>
    </row>
    <row r="353" spans="1:9" x14ac:dyDescent="0.35">
      <c r="A353" s="1">
        <f>ROW()-ROW(BARANGMASUK!$A$3)</f>
        <v>350</v>
      </c>
      <c r="B353" s="1" t="s">
        <v>955</v>
      </c>
      <c r="C353" s="24">
        <v>45788</v>
      </c>
      <c r="D353" s="1" t="s">
        <v>394</v>
      </c>
      <c r="E353" s="15" t="s">
        <v>395</v>
      </c>
      <c r="F353" s="1" t="s">
        <v>106</v>
      </c>
      <c r="G353" s="32">
        <v>94500</v>
      </c>
      <c r="H353" s="1" t="s">
        <v>7</v>
      </c>
      <c r="I353" s="1">
        <v>9</v>
      </c>
    </row>
    <row r="354" spans="1:9" x14ac:dyDescent="0.35">
      <c r="A354" s="1">
        <f>ROW()-ROW(BARANGMASUK!$A$3)</f>
        <v>351</v>
      </c>
      <c r="B354" s="1" t="s">
        <v>959</v>
      </c>
      <c r="C354" s="24">
        <v>45788</v>
      </c>
      <c r="D354" s="1" t="s">
        <v>948</v>
      </c>
      <c r="E354" s="15" t="s">
        <v>949</v>
      </c>
      <c r="F354" s="1" t="s">
        <v>106</v>
      </c>
      <c r="G354" s="32">
        <v>32000</v>
      </c>
      <c r="H354" s="1" t="s">
        <v>7</v>
      </c>
      <c r="I354" s="1">
        <v>1</v>
      </c>
    </row>
    <row r="355" spans="1:9" x14ac:dyDescent="0.35">
      <c r="A355" s="1">
        <f>ROW()-ROW(BARANGMASUK!$A$3)</f>
        <v>352</v>
      </c>
      <c r="B355" s="1" t="s">
        <v>960</v>
      </c>
      <c r="C355" s="24">
        <v>45788</v>
      </c>
      <c r="D355" s="1" t="s">
        <v>957</v>
      </c>
      <c r="E355" s="15" t="s">
        <v>958</v>
      </c>
      <c r="F355" s="1" t="s">
        <v>106</v>
      </c>
      <c r="G355" s="32">
        <v>28000</v>
      </c>
      <c r="H355" s="1" t="s">
        <v>7</v>
      </c>
      <c r="I355" s="1">
        <v>1</v>
      </c>
    </row>
    <row r="356" spans="1:9" x14ac:dyDescent="0.35">
      <c r="A356" s="1">
        <f>ROW()-ROW(BARANGMASUK!$A$3)</f>
        <v>353</v>
      </c>
      <c r="B356" s="1" t="s">
        <v>967</v>
      </c>
      <c r="C356" s="24">
        <v>45788</v>
      </c>
      <c r="D356" s="1" t="s">
        <v>961</v>
      </c>
      <c r="E356" s="15" t="s">
        <v>962</v>
      </c>
      <c r="F356" s="1" t="s">
        <v>106</v>
      </c>
      <c r="G356" s="32">
        <v>140000</v>
      </c>
      <c r="H356" s="1" t="s">
        <v>7</v>
      </c>
      <c r="I356" s="1">
        <v>7</v>
      </c>
    </row>
    <row r="357" spans="1:9" x14ac:dyDescent="0.35">
      <c r="A357" s="1">
        <f>ROW()-ROW(BARANGMASUK!$A$3)</f>
        <v>354</v>
      </c>
      <c r="B357" s="1" t="s">
        <v>968</v>
      </c>
      <c r="C357" s="24">
        <v>45788</v>
      </c>
      <c r="D357" s="1" t="s">
        <v>323</v>
      </c>
      <c r="E357" s="15" t="s">
        <v>324</v>
      </c>
      <c r="F357" s="1" t="s">
        <v>30</v>
      </c>
      <c r="G357" s="32">
        <v>39000</v>
      </c>
      <c r="H357" s="1" t="s">
        <v>7</v>
      </c>
      <c r="I357" s="1">
        <v>3</v>
      </c>
    </row>
    <row r="358" spans="1:9" x14ac:dyDescent="0.35">
      <c r="A358" s="1">
        <f>ROW()-ROW(BARANGMASUK!$A$3)</f>
        <v>355</v>
      </c>
      <c r="B358" s="1" t="s">
        <v>969</v>
      </c>
      <c r="C358" s="24">
        <v>45788</v>
      </c>
      <c r="D358" s="1" t="s">
        <v>464</v>
      </c>
      <c r="E358" s="15" t="s">
        <v>465</v>
      </c>
      <c r="F358" s="1" t="s">
        <v>30</v>
      </c>
      <c r="G358" s="32">
        <v>18000</v>
      </c>
      <c r="H358" s="1" t="s">
        <v>7</v>
      </c>
      <c r="I358" s="1">
        <v>3</v>
      </c>
    </row>
    <row r="359" spans="1:9" x14ac:dyDescent="0.35">
      <c r="A359" s="1">
        <f>ROW()-ROW(BARANGMASUK!$A$3)</f>
        <v>356</v>
      </c>
      <c r="B359" s="1" t="s">
        <v>970</v>
      </c>
      <c r="C359" s="24">
        <v>45788</v>
      </c>
      <c r="D359" s="1" t="s">
        <v>963</v>
      </c>
      <c r="E359" s="15" t="s">
        <v>964</v>
      </c>
      <c r="F359" s="1" t="s">
        <v>304</v>
      </c>
      <c r="G359" s="32">
        <v>44000</v>
      </c>
      <c r="H359" s="1" t="s">
        <v>7</v>
      </c>
      <c r="I359" s="1">
        <v>2</v>
      </c>
    </row>
    <row r="360" spans="1:9" x14ac:dyDescent="0.35">
      <c r="A360" s="1">
        <f>ROW()-ROW(BARANGMASUK!$A$3)</f>
        <v>357</v>
      </c>
      <c r="B360" s="1" t="s">
        <v>971</v>
      </c>
      <c r="C360" s="24">
        <v>45788</v>
      </c>
      <c r="D360" s="1" t="s">
        <v>92</v>
      </c>
      <c r="E360" s="15" t="s">
        <v>93</v>
      </c>
      <c r="F360" s="1" t="s">
        <v>30</v>
      </c>
      <c r="G360" s="32">
        <v>136000</v>
      </c>
      <c r="H360" s="1" t="s">
        <v>7</v>
      </c>
      <c r="I360" s="1">
        <v>1</v>
      </c>
    </row>
    <row r="361" spans="1:9" x14ac:dyDescent="0.35">
      <c r="A361" s="1">
        <f>ROW()-ROW(BARANGMASUK!$A$3)</f>
        <v>358</v>
      </c>
      <c r="B361" s="1" t="s">
        <v>972</v>
      </c>
      <c r="C361" s="24">
        <v>45788</v>
      </c>
      <c r="D361" s="1" t="s">
        <v>95</v>
      </c>
      <c r="E361" s="15" t="s">
        <v>96</v>
      </c>
      <c r="F361" s="1" t="s">
        <v>30</v>
      </c>
      <c r="G361" s="32">
        <v>74000</v>
      </c>
      <c r="H361" s="1" t="s">
        <v>7</v>
      </c>
      <c r="I361" s="1">
        <v>1</v>
      </c>
    </row>
    <row r="362" spans="1:9" x14ac:dyDescent="0.35">
      <c r="A362" s="1">
        <f>ROW()-ROW(BARANGMASUK!$A$3)</f>
        <v>359</v>
      </c>
      <c r="B362" s="1" t="s">
        <v>973</v>
      </c>
      <c r="C362" s="24">
        <v>45788</v>
      </c>
      <c r="D362" s="1" t="s">
        <v>645</v>
      </c>
      <c r="E362" s="15" t="s">
        <v>646</v>
      </c>
      <c r="F362" s="1" t="s">
        <v>562</v>
      </c>
      <c r="G362" s="32">
        <v>14000</v>
      </c>
      <c r="H362" s="1" t="s">
        <v>7</v>
      </c>
      <c r="I362" s="1">
        <v>2</v>
      </c>
    </row>
    <row r="363" spans="1:9" x14ac:dyDescent="0.35">
      <c r="A363" s="1">
        <f>ROW()-ROW(BARANGMASUK!$A$3)</f>
        <v>360</v>
      </c>
      <c r="B363" s="1" t="s">
        <v>974</v>
      </c>
      <c r="C363" s="24">
        <v>45788</v>
      </c>
      <c r="D363" s="1" t="s">
        <v>341</v>
      </c>
      <c r="E363" s="15" t="s">
        <v>342</v>
      </c>
      <c r="F363" s="1" t="s">
        <v>30</v>
      </c>
      <c r="G363" s="32">
        <v>19000</v>
      </c>
      <c r="H363" s="1" t="s">
        <v>7</v>
      </c>
      <c r="I363" s="1">
        <v>1</v>
      </c>
    </row>
    <row r="364" spans="1:9" x14ac:dyDescent="0.35">
      <c r="A364" s="1">
        <f>ROW()-ROW(BARANGMASUK!$A$3)</f>
        <v>361</v>
      </c>
      <c r="B364" s="1" t="s">
        <v>975</v>
      </c>
      <c r="C364" s="24">
        <v>45788</v>
      </c>
      <c r="D364" s="1" t="s">
        <v>965</v>
      </c>
      <c r="E364" s="15" t="s">
        <v>966</v>
      </c>
      <c r="F364" s="1" t="s">
        <v>30</v>
      </c>
      <c r="G364" s="32">
        <v>11500</v>
      </c>
      <c r="H364" s="1" t="s">
        <v>7</v>
      </c>
      <c r="I364" s="1">
        <v>1</v>
      </c>
    </row>
    <row r="365" spans="1:9" x14ac:dyDescent="0.35">
      <c r="A365" s="1">
        <f>ROW()-ROW(BARANGMASUK!$A$3)</f>
        <v>362</v>
      </c>
      <c r="B365" s="1" t="s">
        <v>1039</v>
      </c>
      <c r="C365" s="24">
        <v>45804</v>
      </c>
      <c r="D365" s="1" t="s">
        <v>25</v>
      </c>
      <c r="E365" s="15" t="s">
        <v>50</v>
      </c>
      <c r="F365" s="1" t="s">
        <v>27</v>
      </c>
      <c r="G365" s="32">
        <v>275000</v>
      </c>
      <c r="H365" s="1" t="s">
        <v>7</v>
      </c>
      <c r="I365" s="1">
        <v>5</v>
      </c>
    </row>
    <row r="366" spans="1:9" x14ac:dyDescent="0.35">
      <c r="A366" s="1">
        <f>ROW()-ROW(BARANGMASUK!$A$3)</f>
        <v>363</v>
      </c>
      <c r="B366" s="1" t="s">
        <v>993</v>
      </c>
      <c r="C366" s="24">
        <v>45693</v>
      </c>
      <c r="D366" s="1" t="s">
        <v>119</v>
      </c>
      <c r="E366" s="15" t="s">
        <v>120</v>
      </c>
      <c r="F366" s="1" t="s">
        <v>521</v>
      </c>
      <c r="G366" s="32">
        <v>30000</v>
      </c>
      <c r="H366" s="1" t="s">
        <v>7</v>
      </c>
      <c r="I366" s="1">
        <v>2</v>
      </c>
    </row>
    <row r="367" spans="1:9" x14ac:dyDescent="0.35">
      <c r="A367" s="1">
        <f>ROW()-ROW(BARANGMASUK!$A$3)</f>
        <v>364</v>
      </c>
      <c r="B367" s="1" t="s">
        <v>994</v>
      </c>
      <c r="C367" s="24">
        <v>45693</v>
      </c>
      <c r="D367" s="1" t="s">
        <v>634</v>
      </c>
      <c r="E367" s="15" t="s">
        <v>635</v>
      </c>
      <c r="F367" s="1" t="s">
        <v>30</v>
      </c>
      <c r="G367" s="32">
        <v>42000</v>
      </c>
      <c r="H367" s="1" t="s">
        <v>7</v>
      </c>
      <c r="I367" s="1">
        <v>2</v>
      </c>
    </row>
    <row r="368" spans="1:9" x14ac:dyDescent="0.35">
      <c r="A368" s="1">
        <f>ROW()-ROW(BARANGMASUK!$A$3)</f>
        <v>365</v>
      </c>
      <c r="B368" s="1" t="s">
        <v>995</v>
      </c>
      <c r="C368" s="24">
        <v>45693</v>
      </c>
      <c r="D368" s="1" t="s">
        <v>140</v>
      </c>
      <c r="E368" s="15" t="s">
        <v>141</v>
      </c>
      <c r="F368" s="1" t="s">
        <v>30</v>
      </c>
      <c r="G368" s="32">
        <v>13000</v>
      </c>
      <c r="H368" s="1" t="s">
        <v>7</v>
      </c>
      <c r="I368" s="1">
        <v>1</v>
      </c>
    </row>
    <row r="369" spans="1:9" x14ac:dyDescent="0.35">
      <c r="A369" s="1">
        <f>ROW()-ROW(BARANGMASUK!$A$3)</f>
        <v>366</v>
      </c>
      <c r="B369" s="1" t="s">
        <v>996</v>
      </c>
      <c r="C369" s="24">
        <v>45693</v>
      </c>
      <c r="D369" s="1" t="s">
        <v>337</v>
      </c>
      <c r="E369" s="15" t="s">
        <v>338</v>
      </c>
      <c r="F369" s="1" t="s">
        <v>30</v>
      </c>
      <c r="G369" s="32">
        <v>70000</v>
      </c>
      <c r="H369" s="1" t="s">
        <v>7</v>
      </c>
      <c r="I369" s="1">
        <v>2</v>
      </c>
    </row>
    <row r="370" spans="1:9" x14ac:dyDescent="0.35">
      <c r="A370" s="1">
        <f>ROW()-ROW(BARANGMASUK!$A$3)</f>
        <v>367</v>
      </c>
      <c r="B370" s="1" t="s">
        <v>997</v>
      </c>
      <c r="C370" s="24">
        <v>45693</v>
      </c>
      <c r="D370" s="1" t="s">
        <v>454</v>
      </c>
      <c r="E370" s="15" t="s">
        <v>455</v>
      </c>
      <c r="F370" s="1" t="s">
        <v>106</v>
      </c>
      <c r="G370" s="32">
        <v>40000</v>
      </c>
      <c r="H370" s="1" t="s">
        <v>7</v>
      </c>
      <c r="I370" s="1">
        <v>2</v>
      </c>
    </row>
    <row r="371" spans="1:9" x14ac:dyDescent="0.35">
      <c r="A371" s="1">
        <f>ROW()-ROW(BARANGMASUK!$A$3)</f>
        <v>368</v>
      </c>
      <c r="B371" s="1" t="s">
        <v>999</v>
      </c>
      <c r="C371" s="24">
        <v>45709</v>
      </c>
      <c r="D371" s="1" t="s">
        <v>25</v>
      </c>
      <c r="E371" s="15" t="s">
        <v>50</v>
      </c>
      <c r="F371" s="1" t="s">
        <v>27</v>
      </c>
      <c r="G371" s="32">
        <v>385000</v>
      </c>
      <c r="H371" s="1" t="s">
        <v>7</v>
      </c>
      <c r="I371" s="1">
        <v>7</v>
      </c>
    </row>
    <row r="372" spans="1:9" x14ac:dyDescent="0.35">
      <c r="A372" s="1">
        <f>ROW()-ROW(BARANGMASUK!$A$3)</f>
        <v>369</v>
      </c>
      <c r="B372" s="1" t="s">
        <v>1004</v>
      </c>
      <c r="C372" s="24">
        <v>45709</v>
      </c>
      <c r="D372" s="1" t="s">
        <v>148</v>
      </c>
      <c r="E372" s="15" t="s">
        <v>149</v>
      </c>
      <c r="F372" s="1" t="s">
        <v>41</v>
      </c>
      <c r="G372" s="32">
        <v>50000</v>
      </c>
      <c r="H372" s="1" t="s">
        <v>7</v>
      </c>
      <c r="I372" s="1">
        <v>2</v>
      </c>
    </row>
    <row r="373" spans="1:9" x14ac:dyDescent="0.35">
      <c r="A373" s="1">
        <f>ROW()-ROW(BARANGMASUK!$A$3)</f>
        <v>370</v>
      </c>
      <c r="B373" s="1" t="s">
        <v>1005</v>
      </c>
      <c r="C373" s="24">
        <v>45709</v>
      </c>
      <c r="D373" s="1" t="s">
        <v>1000</v>
      </c>
      <c r="E373" s="15" t="s">
        <v>1001</v>
      </c>
      <c r="F373" s="1" t="s">
        <v>41</v>
      </c>
      <c r="G373" s="32">
        <v>18000</v>
      </c>
      <c r="H373" s="1" t="s">
        <v>7</v>
      </c>
      <c r="I373" s="1">
        <v>6</v>
      </c>
    </row>
    <row r="374" spans="1:9" x14ac:dyDescent="0.35">
      <c r="A374" s="1">
        <f>ROW()-ROW(BARANGMASUK!$A$3)</f>
        <v>371</v>
      </c>
      <c r="B374" s="1" t="s">
        <v>1006</v>
      </c>
      <c r="C374" s="24">
        <v>45709</v>
      </c>
      <c r="D374" s="1" t="s">
        <v>1002</v>
      </c>
      <c r="E374" s="15" t="s">
        <v>1003</v>
      </c>
      <c r="F374" s="1" t="s">
        <v>435</v>
      </c>
      <c r="G374" s="32">
        <v>47000</v>
      </c>
      <c r="H374" s="1" t="s">
        <v>7</v>
      </c>
      <c r="I374" s="1">
        <v>2</v>
      </c>
    </row>
    <row r="375" spans="1:9" x14ac:dyDescent="0.35">
      <c r="A375" s="1">
        <f>ROW()-ROW(BARANGMASUK!$A$3)</f>
        <v>372</v>
      </c>
      <c r="B375" s="1" t="s">
        <v>1011</v>
      </c>
      <c r="C375" s="24">
        <v>45705</v>
      </c>
      <c r="D375" s="1" t="s">
        <v>539</v>
      </c>
      <c r="E375" s="15" t="s">
        <v>540</v>
      </c>
      <c r="F375" s="1" t="s">
        <v>304</v>
      </c>
      <c r="G375" s="32">
        <v>129000</v>
      </c>
      <c r="H375" s="1" t="s">
        <v>7</v>
      </c>
      <c r="I375" s="1">
        <v>3</v>
      </c>
    </row>
    <row r="376" spans="1:9" x14ac:dyDescent="0.35">
      <c r="A376" s="1">
        <f>ROW()-ROW(BARANGMASUK!$A$3)</f>
        <v>373</v>
      </c>
      <c r="B376" s="1" t="s">
        <v>1012</v>
      </c>
      <c r="C376" s="24">
        <v>45705</v>
      </c>
      <c r="D376" s="1" t="s">
        <v>25</v>
      </c>
      <c r="E376" s="15" t="s">
        <v>50</v>
      </c>
      <c r="F376" s="1" t="s">
        <v>27</v>
      </c>
      <c r="G376" s="32">
        <v>440000</v>
      </c>
      <c r="H376" s="1" t="s">
        <v>7</v>
      </c>
      <c r="I376" s="1">
        <v>8</v>
      </c>
    </row>
    <row r="377" spans="1:9" x14ac:dyDescent="0.35">
      <c r="A377" s="1">
        <f>ROW()-ROW(BARANGMASUK!$A$3)</f>
        <v>374</v>
      </c>
      <c r="B377" s="1" t="s">
        <v>1013</v>
      </c>
      <c r="C377" s="24">
        <v>45705</v>
      </c>
      <c r="D377" s="1" t="s">
        <v>1000</v>
      </c>
      <c r="E377" s="15" t="s">
        <v>1001</v>
      </c>
      <c r="F377" s="1" t="s">
        <v>41</v>
      </c>
      <c r="G377" s="32">
        <v>12000</v>
      </c>
      <c r="H377" s="1" t="s">
        <v>7</v>
      </c>
      <c r="I377" s="1">
        <v>4</v>
      </c>
    </row>
    <row r="378" spans="1:9" x14ac:dyDescent="0.35">
      <c r="A378" s="1">
        <f>ROW()-ROW(BARANGMASUK!$A$3)</f>
        <v>375</v>
      </c>
      <c r="B378" s="1" t="s">
        <v>1014</v>
      </c>
      <c r="C378" s="24">
        <v>45705</v>
      </c>
      <c r="D378" s="1" t="s">
        <v>653</v>
      </c>
      <c r="E378" s="15" t="s">
        <v>654</v>
      </c>
      <c r="F378" s="1" t="s">
        <v>30</v>
      </c>
      <c r="G378" s="32">
        <v>30000</v>
      </c>
      <c r="H378" s="1" t="s">
        <v>7</v>
      </c>
      <c r="I378" s="1">
        <v>2</v>
      </c>
    </row>
    <row r="379" spans="1:9" x14ac:dyDescent="0.35">
      <c r="A379" s="1">
        <f>ROW()-ROW(BARANGMASUK!$A$3)</f>
        <v>376</v>
      </c>
      <c r="B379" s="1" t="s">
        <v>1015</v>
      </c>
      <c r="C379" s="24">
        <v>45705</v>
      </c>
      <c r="D379" s="1" t="s">
        <v>661</v>
      </c>
      <c r="E379" s="15" t="s">
        <v>662</v>
      </c>
      <c r="F379" s="1" t="s">
        <v>562</v>
      </c>
      <c r="G379" s="32">
        <v>40000</v>
      </c>
      <c r="H379" s="1" t="s">
        <v>7</v>
      </c>
      <c r="I379" s="1">
        <v>2</v>
      </c>
    </row>
    <row r="380" spans="1:9" x14ac:dyDescent="0.35">
      <c r="A380" s="1">
        <f>ROW()-ROW(BARANGMASUK!$A$3)</f>
        <v>377</v>
      </c>
      <c r="B380" s="1" t="s">
        <v>1016</v>
      </c>
      <c r="C380" s="24">
        <v>45705</v>
      </c>
      <c r="D380" s="1" t="s">
        <v>128</v>
      </c>
      <c r="E380" s="15" t="s">
        <v>129</v>
      </c>
      <c r="F380" s="1" t="s">
        <v>30</v>
      </c>
      <c r="G380" s="32">
        <v>37000</v>
      </c>
      <c r="H380" s="1" t="s">
        <v>7</v>
      </c>
      <c r="I380" s="1">
        <v>2</v>
      </c>
    </row>
    <row r="381" spans="1:9" x14ac:dyDescent="0.35">
      <c r="A381" s="1">
        <f>ROW()-ROW(BARANGMASUK!$A$3)</f>
        <v>378</v>
      </c>
      <c r="B381" s="1" t="s">
        <v>1017</v>
      </c>
      <c r="C381" s="24">
        <v>45705</v>
      </c>
      <c r="D381" s="1" t="s">
        <v>760</v>
      </c>
      <c r="E381" s="15" t="s">
        <v>759</v>
      </c>
      <c r="F381" s="1" t="s">
        <v>562</v>
      </c>
      <c r="G381" s="32">
        <v>27000</v>
      </c>
      <c r="H381" s="1" t="s">
        <v>7</v>
      </c>
      <c r="I381" s="1">
        <v>2</v>
      </c>
    </row>
    <row r="382" spans="1:9" x14ac:dyDescent="0.35">
      <c r="A382" s="1">
        <f>ROW()-ROW(BARANGMASUK!$A$3)</f>
        <v>379</v>
      </c>
      <c r="B382" s="1" t="s">
        <v>1018</v>
      </c>
      <c r="C382" s="24">
        <v>45705</v>
      </c>
      <c r="D382" s="1" t="s">
        <v>337</v>
      </c>
      <c r="E382" s="15" t="s">
        <v>338</v>
      </c>
      <c r="F382" s="1" t="s">
        <v>30</v>
      </c>
      <c r="G382" s="32">
        <v>35000</v>
      </c>
      <c r="H382" s="1" t="s">
        <v>7</v>
      </c>
      <c r="I382" s="1">
        <v>1</v>
      </c>
    </row>
    <row r="383" spans="1:9" x14ac:dyDescent="0.35">
      <c r="A383" s="1">
        <f>ROW()-ROW(BARANGMASUK!$A$3)</f>
        <v>380</v>
      </c>
      <c r="B383" s="1" t="s">
        <v>1029</v>
      </c>
      <c r="C383" s="24">
        <v>45702</v>
      </c>
      <c r="D383" s="1" t="s">
        <v>1027</v>
      </c>
      <c r="E383" s="15" t="s">
        <v>1028</v>
      </c>
      <c r="F383" s="1" t="s">
        <v>47</v>
      </c>
      <c r="G383" s="32">
        <v>25000</v>
      </c>
      <c r="H383" s="1" t="s">
        <v>7</v>
      </c>
      <c r="I383" s="1">
        <v>5</v>
      </c>
    </row>
    <row r="384" spans="1:9" x14ac:dyDescent="0.35">
      <c r="A384" s="1">
        <f>ROW()-ROW(BARANGMASUK!$A$3)</f>
        <v>381</v>
      </c>
      <c r="B384" s="1" t="s">
        <v>1031</v>
      </c>
      <c r="C384" s="24">
        <v>45776</v>
      </c>
      <c r="D384" s="1" t="s">
        <v>25</v>
      </c>
      <c r="E384" s="15" t="s">
        <v>50</v>
      </c>
      <c r="F384" s="1" t="s">
        <v>27</v>
      </c>
      <c r="G384" s="32">
        <v>250000</v>
      </c>
      <c r="H384" s="1" t="s">
        <v>7</v>
      </c>
      <c r="I384" s="1">
        <v>5</v>
      </c>
    </row>
    <row r="385" spans="1:9" x14ac:dyDescent="0.35">
      <c r="A385" s="1">
        <f>ROW()-ROW(BARANGMASUK!$A$3)</f>
        <v>382</v>
      </c>
      <c r="B385" s="1" t="s">
        <v>1033</v>
      </c>
      <c r="C385" s="24">
        <v>45735</v>
      </c>
      <c r="D385" s="1" t="s">
        <v>410</v>
      </c>
      <c r="E385" s="15" t="s">
        <v>411</v>
      </c>
      <c r="F385" s="1" t="s">
        <v>30</v>
      </c>
      <c r="G385" s="32">
        <v>202157</v>
      </c>
      <c r="H385" s="1" t="s">
        <v>7</v>
      </c>
      <c r="I385" s="1">
        <v>1</v>
      </c>
    </row>
    <row r="386" spans="1:9" x14ac:dyDescent="0.35">
      <c r="A386" s="1">
        <f>ROW()-ROW(BARANGMASUK!$A$3)</f>
        <v>383</v>
      </c>
      <c r="B386" s="1" t="s">
        <v>1035</v>
      </c>
      <c r="C386" s="24">
        <v>45770</v>
      </c>
      <c r="D386" s="1" t="s">
        <v>25</v>
      </c>
      <c r="E386" s="15" t="s">
        <v>50</v>
      </c>
      <c r="F386" s="1" t="s">
        <v>27</v>
      </c>
      <c r="G386" s="32">
        <v>250000</v>
      </c>
      <c r="H386" s="1" t="s">
        <v>7</v>
      </c>
      <c r="I386" s="1">
        <v>5</v>
      </c>
    </row>
    <row r="387" spans="1:9" x14ac:dyDescent="0.35">
      <c r="A387" s="1">
        <f>ROW()-ROW(BARANGMASUK!$A$3)</f>
        <v>384</v>
      </c>
      <c r="B387" s="1" t="s">
        <v>1040</v>
      </c>
      <c r="C387" s="24">
        <v>45797</v>
      </c>
      <c r="D387" s="1" t="s">
        <v>138</v>
      </c>
      <c r="E387" s="15" t="s">
        <v>139</v>
      </c>
      <c r="F387" s="1" t="s">
        <v>30</v>
      </c>
      <c r="G387" s="32">
        <v>10000</v>
      </c>
      <c r="H387" s="1" t="s">
        <v>7</v>
      </c>
      <c r="I387" s="1">
        <v>1</v>
      </c>
    </row>
    <row r="388" spans="1:9" x14ac:dyDescent="0.35">
      <c r="A388" s="1">
        <f>ROW()-ROW(BARANGMASUK!$A$3)</f>
        <v>385</v>
      </c>
      <c r="B388" s="1" t="s">
        <v>1039</v>
      </c>
      <c r="C388" s="24">
        <v>45788</v>
      </c>
      <c r="D388" s="1" t="s">
        <v>1041</v>
      </c>
      <c r="E388" s="15" t="s">
        <v>1042</v>
      </c>
      <c r="F388" s="1" t="s">
        <v>27</v>
      </c>
      <c r="G388" s="32">
        <v>98500</v>
      </c>
      <c r="H388" s="1" t="s">
        <v>7</v>
      </c>
      <c r="I388" s="1">
        <v>1</v>
      </c>
    </row>
    <row r="389" spans="1:9" x14ac:dyDescent="0.35">
      <c r="A389" s="1">
        <f>ROW()-ROW(BARANGMASUK!$A$3)</f>
        <v>386</v>
      </c>
      <c r="B389" s="1" t="s">
        <v>1043</v>
      </c>
      <c r="C389" s="24">
        <v>45823</v>
      </c>
      <c r="D389" s="1" t="s">
        <v>665</v>
      </c>
      <c r="E389" s="15" t="s">
        <v>666</v>
      </c>
      <c r="F389" s="1" t="s">
        <v>41</v>
      </c>
      <c r="G389" s="32">
        <v>58000</v>
      </c>
      <c r="H389" s="1" t="s">
        <v>7</v>
      </c>
      <c r="I389" s="1">
        <v>2</v>
      </c>
    </row>
    <row r="390" spans="1:9" x14ac:dyDescent="0.35">
      <c r="A390" s="1">
        <f>ROW()-ROW(BARANGMASUK!$A$3)</f>
        <v>387</v>
      </c>
      <c r="B390" s="1" t="s">
        <v>1044</v>
      </c>
      <c r="C390" s="24">
        <v>45823</v>
      </c>
      <c r="D390" s="1" t="s">
        <v>119</v>
      </c>
      <c r="E390" s="15" t="s">
        <v>120</v>
      </c>
      <c r="F390" s="1" t="s">
        <v>521</v>
      </c>
      <c r="G390" s="32">
        <v>40000</v>
      </c>
      <c r="H390" s="1" t="s">
        <v>7</v>
      </c>
      <c r="I390" s="1">
        <v>4</v>
      </c>
    </row>
    <row r="391" spans="1:9" x14ac:dyDescent="0.35">
      <c r="A391" s="1">
        <f>ROW()-ROW(BARANGMASUK!$A$3)</f>
        <v>388</v>
      </c>
      <c r="B391" s="1" t="s">
        <v>1045</v>
      </c>
      <c r="C391" s="24">
        <v>45823</v>
      </c>
      <c r="D391" s="1" t="s">
        <v>423</v>
      </c>
      <c r="E391" s="15" t="s">
        <v>424</v>
      </c>
      <c r="F391" s="1" t="s">
        <v>304</v>
      </c>
      <c r="G391" s="32">
        <v>96000</v>
      </c>
      <c r="H391" s="1" t="s">
        <v>7</v>
      </c>
      <c r="I391" s="1">
        <v>4</v>
      </c>
    </row>
    <row r="392" spans="1:9" x14ac:dyDescent="0.35">
      <c r="A392" s="1">
        <f>ROW()-ROW(BARANGMASUK!$A$3)</f>
        <v>389</v>
      </c>
      <c r="B392" s="1" t="s">
        <v>1046</v>
      </c>
      <c r="C392" s="24">
        <v>45823</v>
      </c>
      <c r="D392" s="1" t="s">
        <v>130</v>
      </c>
      <c r="E392" s="15" t="s">
        <v>1083</v>
      </c>
      <c r="F392" s="1" t="s">
        <v>506</v>
      </c>
      <c r="G392" s="32">
        <v>76000</v>
      </c>
      <c r="H392" s="1" t="s">
        <v>7</v>
      </c>
      <c r="I392" s="1">
        <v>1</v>
      </c>
    </row>
    <row r="393" spans="1:9" x14ac:dyDescent="0.35">
      <c r="A393" s="1">
        <f>ROW()-ROW(BARANGMASUK!$A$3)</f>
        <v>390</v>
      </c>
      <c r="B393" s="1" t="s">
        <v>1047</v>
      </c>
      <c r="C393" s="24">
        <v>45823</v>
      </c>
      <c r="D393" s="1" t="s">
        <v>867</v>
      </c>
      <c r="E393" s="15" t="s">
        <v>868</v>
      </c>
      <c r="F393" s="1" t="s">
        <v>106</v>
      </c>
      <c r="G393" s="32">
        <v>28000</v>
      </c>
      <c r="H393" s="1" t="s">
        <v>7</v>
      </c>
      <c r="I393" s="1">
        <v>1</v>
      </c>
    </row>
    <row r="394" spans="1:9" x14ac:dyDescent="0.35">
      <c r="A394" s="1">
        <f>ROW()-ROW(BARANGMASUK!$A$3)</f>
        <v>391</v>
      </c>
      <c r="B394" s="1" t="s">
        <v>1048</v>
      </c>
      <c r="C394" s="24">
        <v>45823</v>
      </c>
      <c r="D394" s="1" t="s">
        <v>450</v>
      </c>
      <c r="E394" s="15" t="s">
        <v>451</v>
      </c>
      <c r="F394" s="1" t="s">
        <v>41</v>
      </c>
      <c r="G394" s="32">
        <v>57000</v>
      </c>
      <c r="H394" s="1" t="s">
        <v>7</v>
      </c>
      <c r="I394" s="1">
        <v>2</v>
      </c>
    </row>
    <row r="395" spans="1:9" x14ac:dyDescent="0.35">
      <c r="A395" s="1">
        <f>ROW()-ROW(BARANGMASUK!$A$3)</f>
        <v>392</v>
      </c>
      <c r="B395" s="1" t="s">
        <v>1049</v>
      </c>
      <c r="C395" s="24">
        <v>45823</v>
      </c>
      <c r="D395" s="1" t="s">
        <v>963</v>
      </c>
      <c r="E395" s="15" t="s">
        <v>964</v>
      </c>
      <c r="F395" s="1" t="s">
        <v>304</v>
      </c>
      <c r="G395" s="32">
        <v>44000</v>
      </c>
      <c r="H395" s="1" t="s">
        <v>7</v>
      </c>
      <c r="I395" s="1">
        <v>2</v>
      </c>
    </row>
    <row r="396" spans="1:9" x14ac:dyDescent="0.35">
      <c r="A396" s="1">
        <f>ROW()-ROW(BARANGMASUK!$A$3)</f>
        <v>393</v>
      </c>
      <c r="B396" s="1" t="s">
        <v>1052</v>
      </c>
      <c r="C396" s="24">
        <v>45832</v>
      </c>
      <c r="D396" s="1" t="s">
        <v>25</v>
      </c>
      <c r="E396" s="15" t="s">
        <v>50</v>
      </c>
      <c r="F396" s="1" t="s">
        <v>27</v>
      </c>
      <c r="G396" s="32">
        <v>275000</v>
      </c>
      <c r="H396" s="1" t="s">
        <v>7</v>
      </c>
      <c r="I396" s="1">
        <v>5</v>
      </c>
    </row>
    <row r="397" spans="1:9" x14ac:dyDescent="0.35">
      <c r="A397" s="1">
        <f>ROW()-ROW(BARANGMASUK!$A$3)</f>
        <v>394</v>
      </c>
      <c r="B397" s="1" t="s">
        <v>1088</v>
      </c>
      <c r="C397" s="24">
        <v>45853</v>
      </c>
      <c r="D397" s="1" t="s">
        <v>25</v>
      </c>
      <c r="E397" s="15" t="s">
        <v>50</v>
      </c>
      <c r="F397" s="1" t="s">
        <v>27</v>
      </c>
      <c r="G397" s="32">
        <v>300000</v>
      </c>
      <c r="H397" s="1" t="s">
        <v>7</v>
      </c>
      <c r="I397" s="1">
        <v>5</v>
      </c>
    </row>
    <row r="398" spans="1:9" x14ac:dyDescent="0.35">
      <c r="A398" s="1">
        <f>ROW()-ROW(BARANGMASUK!$A$3)</f>
        <v>395</v>
      </c>
      <c r="B398" s="1" t="s">
        <v>1089</v>
      </c>
      <c r="C398" s="24">
        <v>45839</v>
      </c>
      <c r="D398" s="1" t="s">
        <v>25</v>
      </c>
      <c r="E398" s="15" t="s">
        <v>50</v>
      </c>
      <c r="F398" s="1" t="s">
        <v>27</v>
      </c>
      <c r="G398" s="32">
        <v>255000</v>
      </c>
      <c r="H398" s="1" t="s">
        <v>7</v>
      </c>
      <c r="I398" s="1">
        <v>5</v>
      </c>
    </row>
    <row r="399" spans="1:9" x14ac:dyDescent="0.35">
      <c r="A399" s="1">
        <f>ROW()-ROW(BARANGMASUK!$A$3)</f>
        <v>396</v>
      </c>
      <c r="B399" s="1" t="s">
        <v>1090</v>
      </c>
      <c r="C399" s="24">
        <v>45854</v>
      </c>
      <c r="D399" s="1" t="s">
        <v>909</v>
      </c>
      <c r="E399" s="15" t="s">
        <v>910</v>
      </c>
      <c r="F399" s="1" t="s">
        <v>911</v>
      </c>
      <c r="G399" s="32">
        <v>15000</v>
      </c>
      <c r="H399" s="1" t="s">
        <v>7</v>
      </c>
      <c r="I399" s="1">
        <v>1</v>
      </c>
    </row>
    <row r="400" spans="1:9" x14ac:dyDescent="0.35">
      <c r="A400" s="1">
        <f>ROW()-ROW(BARANGMASUK!$A$3)</f>
        <v>397</v>
      </c>
      <c r="B400" s="1" t="s">
        <v>1091</v>
      </c>
      <c r="C400" s="24">
        <v>45857</v>
      </c>
      <c r="D400" s="1" t="s">
        <v>588</v>
      </c>
      <c r="E400" s="15" t="s">
        <v>589</v>
      </c>
      <c r="F400" s="1" t="s">
        <v>562</v>
      </c>
      <c r="G400" s="32">
        <v>10000</v>
      </c>
      <c r="H400" s="1" t="s">
        <v>7</v>
      </c>
      <c r="I400" s="1">
        <v>1</v>
      </c>
    </row>
    <row r="401" spans="1:9" x14ac:dyDescent="0.35">
      <c r="A401" s="1">
        <f>ROW()-ROW(BARANGMASUK!$A$3)</f>
        <v>398</v>
      </c>
      <c r="B401" s="1" t="s">
        <v>1094</v>
      </c>
      <c r="C401" s="24">
        <v>45857</v>
      </c>
      <c r="D401" s="1" t="s">
        <v>1092</v>
      </c>
      <c r="E401" s="15" t="s">
        <v>1093</v>
      </c>
      <c r="F401" s="1" t="s">
        <v>30</v>
      </c>
      <c r="G401" s="32">
        <v>160000</v>
      </c>
      <c r="H401" s="1" t="s">
        <v>7</v>
      </c>
      <c r="I401" s="1">
        <v>1</v>
      </c>
    </row>
    <row r="402" spans="1:9" x14ac:dyDescent="0.35">
      <c r="A402" s="1">
        <f>ROW()-ROW(BARANGMASUK!$A$3)</f>
        <v>399</v>
      </c>
      <c r="B402" s="1" t="s">
        <v>1120</v>
      </c>
      <c r="C402" s="24">
        <v>45857</v>
      </c>
      <c r="D402" s="1" t="s">
        <v>1110</v>
      </c>
      <c r="E402" s="15" t="s">
        <v>1111</v>
      </c>
      <c r="F402" s="1" t="s">
        <v>30</v>
      </c>
      <c r="G402" s="32">
        <v>26000</v>
      </c>
      <c r="H402" s="1" t="s">
        <v>7</v>
      </c>
      <c r="I402" s="1">
        <v>2</v>
      </c>
    </row>
    <row r="403" spans="1:9" x14ac:dyDescent="0.35">
      <c r="A403" s="1">
        <f>ROW()-ROW(BARANGMASUK!$A$3)</f>
        <v>400</v>
      </c>
      <c r="B403" s="1" t="s">
        <v>1121</v>
      </c>
      <c r="C403" s="24">
        <v>45857</v>
      </c>
      <c r="D403" s="1" t="s">
        <v>638</v>
      </c>
      <c r="E403" s="15" t="s">
        <v>639</v>
      </c>
      <c r="F403" s="1" t="s">
        <v>562</v>
      </c>
      <c r="G403" s="32">
        <v>31500</v>
      </c>
      <c r="H403" s="1" t="s">
        <v>7</v>
      </c>
      <c r="I403" s="1">
        <v>3</v>
      </c>
    </row>
    <row r="404" spans="1:9" x14ac:dyDescent="0.35">
      <c r="A404" s="1">
        <f>ROW()-ROW(BARANGMASUK!$A$3)</f>
        <v>401</v>
      </c>
      <c r="B404" s="1" t="s">
        <v>1122</v>
      </c>
      <c r="C404" s="24">
        <v>45857</v>
      </c>
      <c r="D404" s="1" t="s">
        <v>1112</v>
      </c>
      <c r="E404" s="15" t="s">
        <v>1113</v>
      </c>
      <c r="F404" s="1" t="s">
        <v>30</v>
      </c>
      <c r="G404" s="32">
        <v>50000</v>
      </c>
      <c r="H404" s="1" t="s">
        <v>7</v>
      </c>
      <c r="I404" s="1">
        <v>4</v>
      </c>
    </row>
    <row r="405" spans="1:9" x14ac:dyDescent="0.35">
      <c r="A405" s="1">
        <f>ROW()-ROW(BARANGMASUK!$A$3)</f>
        <v>402</v>
      </c>
      <c r="B405" s="1" t="s">
        <v>1123</v>
      </c>
      <c r="C405" s="24">
        <v>45857</v>
      </c>
      <c r="D405" s="1" t="s">
        <v>760</v>
      </c>
      <c r="E405" s="15" t="s">
        <v>759</v>
      </c>
      <c r="F405" s="1" t="s">
        <v>562</v>
      </c>
      <c r="G405" s="32">
        <v>22500</v>
      </c>
      <c r="H405" s="1" t="s">
        <v>7</v>
      </c>
      <c r="I405" s="1">
        <v>3</v>
      </c>
    </row>
    <row r="406" spans="1:9" x14ac:dyDescent="0.35">
      <c r="A406" s="1">
        <f>ROW()-ROW(BARANGMASUK!$A$3)</f>
        <v>403</v>
      </c>
      <c r="B406" s="1" t="s">
        <v>1124</v>
      </c>
      <c r="C406" s="24">
        <v>45857</v>
      </c>
      <c r="D406" s="1" t="s">
        <v>963</v>
      </c>
      <c r="E406" s="15" t="s">
        <v>964</v>
      </c>
      <c r="F406" s="1" t="s">
        <v>304</v>
      </c>
      <c r="G406" s="32">
        <v>22000</v>
      </c>
      <c r="H406" s="1" t="s">
        <v>7</v>
      </c>
      <c r="I406" s="1">
        <v>1</v>
      </c>
    </row>
    <row r="407" spans="1:9" x14ac:dyDescent="0.35">
      <c r="A407" s="1">
        <f>ROW()-ROW(BARANGMASUK!$A$3)</f>
        <v>404</v>
      </c>
      <c r="B407" s="1" t="s">
        <v>1125</v>
      </c>
      <c r="C407" s="24">
        <v>45857</v>
      </c>
      <c r="D407" s="1" t="s">
        <v>1114</v>
      </c>
      <c r="E407" s="15" t="s">
        <v>1115</v>
      </c>
      <c r="F407" s="1" t="s">
        <v>562</v>
      </c>
      <c r="G407" s="32">
        <v>33000</v>
      </c>
      <c r="H407" s="1" t="s">
        <v>7</v>
      </c>
      <c r="I407" s="1">
        <v>3</v>
      </c>
    </row>
    <row r="408" spans="1:9" x14ac:dyDescent="0.35">
      <c r="A408" s="1">
        <f>ROW()-ROW(BARANGMASUK!$A$3)</f>
        <v>405</v>
      </c>
      <c r="B408" s="1" t="s">
        <v>1126</v>
      </c>
      <c r="C408" s="24">
        <v>45857</v>
      </c>
      <c r="D408" s="1" t="s">
        <v>92</v>
      </c>
      <c r="E408" s="15" t="s">
        <v>93</v>
      </c>
      <c r="F408" s="1" t="s">
        <v>106</v>
      </c>
      <c r="G408" s="32">
        <v>136000</v>
      </c>
      <c r="H408" s="1" t="s">
        <v>7</v>
      </c>
      <c r="I408" s="1">
        <v>1</v>
      </c>
    </row>
    <row r="409" spans="1:9" x14ac:dyDescent="0.35">
      <c r="A409" s="1">
        <f>ROW()-ROW(BARANGMASUK!$A$3)</f>
        <v>406</v>
      </c>
      <c r="B409" s="1" t="s">
        <v>1127</v>
      </c>
      <c r="C409" s="24">
        <v>45857</v>
      </c>
      <c r="D409" s="1" t="s">
        <v>1116</v>
      </c>
      <c r="E409" s="15" t="s">
        <v>1117</v>
      </c>
      <c r="F409" s="1" t="s">
        <v>30</v>
      </c>
      <c r="G409" s="32">
        <v>8500</v>
      </c>
      <c r="H409" s="1" t="s">
        <v>7</v>
      </c>
      <c r="I409" s="1">
        <v>1</v>
      </c>
    </row>
    <row r="410" spans="1:9" x14ac:dyDescent="0.35">
      <c r="A410" s="1">
        <f>ROW()-ROW(BARANGMASUK!$A$3)</f>
        <v>407</v>
      </c>
      <c r="B410" s="1" t="s">
        <v>1128</v>
      </c>
      <c r="C410" s="24">
        <v>45857</v>
      </c>
      <c r="D410" s="1" t="s">
        <v>1118</v>
      </c>
      <c r="E410" s="15" t="s">
        <v>1119</v>
      </c>
      <c r="F410" s="1" t="s">
        <v>106</v>
      </c>
      <c r="G410" s="32">
        <v>86000</v>
      </c>
      <c r="H410" s="1" t="s">
        <v>7</v>
      </c>
      <c r="I410" s="1">
        <v>4</v>
      </c>
    </row>
    <row r="411" spans="1:9" x14ac:dyDescent="0.35">
      <c r="A411" s="1">
        <f>ROW()-ROW(BARANGMASUK!$A$3)</f>
        <v>408</v>
      </c>
      <c r="B411" s="1" t="s">
        <v>1129</v>
      </c>
      <c r="C411" s="24">
        <v>45857</v>
      </c>
      <c r="D411" s="1" t="s">
        <v>402</v>
      </c>
      <c r="E411" s="15" t="s">
        <v>403</v>
      </c>
      <c r="F411" s="1" t="s">
        <v>41</v>
      </c>
      <c r="G411" s="32">
        <v>376000</v>
      </c>
      <c r="H411" s="1" t="s">
        <v>7</v>
      </c>
      <c r="I411" s="1">
        <v>4</v>
      </c>
    </row>
    <row r="412" spans="1:9" x14ac:dyDescent="0.35">
      <c r="A412" s="1">
        <f>ROW()-ROW(BARANGMASUK!$A$3)</f>
        <v>409</v>
      </c>
      <c r="B412" s="1" t="s">
        <v>1130</v>
      </c>
      <c r="C412" s="24">
        <v>45857</v>
      </c>
      <c r="D412" s="1" t="s">
        <v>28</v>
      </c>
      <c r="E412" s="15" t="s">
        <v>51</v>
      </c>
      <c r="F412" s="1" t="s">
        <v>35</v>
      </c>
      <c r="G412" s="32">
        <v>620000</v>
      </c>
      <c r="H412" s="1" t="s">
        <v>7</v>
      </c>
      <c r="I412" s="1">
        <v>2</v>
      </c>
    </row>
    <row r="413" spans="1:9" x14ac:dyDescent="0.35">
      <c r="A413" s="1">
        <f>ROW()-ROW(BARANGMASUK!$A$3)</f>
        <v>410</v>
      </c>
      <c r="B413" s="1" t="s">
        <v>1131</v>
      </c>
      <c r="C413" s="24">
        <v>45857</v>
      </c>
      <c r="D413" s="1" t="s">
        <v>52</v>
      </c>
      <c r="E413" s="15" t="s">
        <v>53</v>
      </c>
      <c r="F413" s="1" t="s">
        <v>35</v>
      </c>
      <c r="G413" s="32">
        <v>255000</v>
      </c>
      <c r="H413" s="1" t="s">
        <v>7</v>
      </c>
      <c r="I413" s="1">
        <v>1</v>
      </c>
    </row>
    <row r="414" spans="1:9" x14ac:dyDescent="0.35">
      <c r="A414" s="1">
        <f>ROW()-ROW(BARANGMASUK!$A$3)</f>
        <v>411</v>
      </c>
      <c r="B414" s="1" t="s">
        <v>1132</v>
      </c>
      <c r="C414" s="24">
        <v>45857</v>
      </c>
      <c r="D414" s="1" t="s">
        <v>54</v>
      </c>
      <c r="E414" s="15" t="s">
        <v>55</v>
      </c>
      <c r="F414" s="1" t="s">
        <v>35</v>
      </c>
      <c r="G414" s="32">
        <v>255000</v>
      </c>
      <c r="H414" s="1" t="s">
        <v>7</v>
      </c>
      <c r="I414" s="1">
        <v>1</v>
      </c>
    </row>
    <row r="415" spans="1:9" x14ac:dyDescent="0.35">
      <c r="A415" s="1">
        <f>ROW()-ROW(BARANGMASUK!$A$3)</f>
        <v>412</v>
      </c>
      <c r="B415" s="1" t="s">
        <v>1133</v>
      </c>
      <c r="C415" s="24">
        <v>45857</v>
      </c>
      <c r="D415" s="1" t="s">
        <v>56</v>
      </c>
      <c r="E415" s="15" t="s">
        <v>57</v>
      </c>
      <c r="F415" s="1" t="s">
        <v>35</v>
      </c>
      <c r="G415" s="32">
        <v>255000</v>
      </c>
      <c r="H415" s="1" t="s">
        <v>7</v>
      </c>
      <c r="I415" s="1">
        <v>1</v>
      </c>
    </row>
    <row r="416" spans="1:9" x14ac:dyDescent="0.35">
      <c r="A416" s="1">
        <f>ROW()-ROW(BARANGMASUK!$A$3)</f>
        <v>413</v>
      </c>
      <c r="B416" s="1" t="s">
        <v>1142</v>
      </c>
      <c r="C416" s="24">
        <v>45866</v>
      </c>
      <c r="D416" s="1" t="s">
        <v>25</v>
      </c>
      <c r="E416" s="15" t="s">
        <v>50</v>
      </c>
      <c r="F416" s="1" t="s">
        <v>27</v>
      </c>
      <c r="G416" s="32">
        <v>275000</v>
      </c>
      <c r="H416" s="1" t="s">
        <v>7</v>
      </c>
      <c r="I416" s="1">
        <v>5</v>
      </c>
    </row>
    <row r="417" spans="1:9" x14ac:dyDescent="0.35">
      <c r="A417" s="1">
        <f>ROW()-ROW(BARANGMASUK!$A$3)</f>
        <v>414</v>
      </c>
      <c r="B417" s="1" t="s">
        <v>1148</v>
      </c>
      <c r="C417" s="24">
        <v>45876</v>
      </c>
      <c r="D417" s="1" t="s">
        <v>25</v>
      </c>
      <c r="E417" s="15" t="s">
        <v>50</v>
      </c>
      <c r="F417" s="1" t="s">
        <v>27</v>
      </c>
      <c r="G417" s="32">
        <v>255000</v>
      </c>
      <c r="H417" s="1" t="s">
        <v>7</v>
      </c>
      <c r="I417" s="1">
        <v>5</v>
      </c>
    </row>
    <row r="418" spans="1:9" x14ac:dyDescent="0.35">
      <c r="A418" s="1">
        <f>ROW()-ROW(BARANGMASUK!$A$3)</f>
        <v>415</v>
      </c>
      <c r="B418" s="1" t="s">
        <v>1151</v>
      </c>
      <c r="C418" s="24">
        <v>45878</v>
      </c>
      <c r="D418" s="1" t="s">
        <v>402</v>
      </c>
      <c r="E418" s="15" t="s">
        <v>403</v>
      </c>
      <c r="F418" s="1" t="s">
        <v>41</v>
      </c>
      <c r="G418" s="32">
        <v>188000</v>
      </c>
      <c r="H418" s="1" t="s">
        <v>7</v>
      </c>
      <c r="I418" s="1">
        <v>2</v>
      </c>
    </row>
    <row r="419" spans="1:9" x14ac:dyDescent="0.35">
      <c r="A419" s="1">
        <f>ROW()-ROW(BARANGMASUK!$A$3)</f>
        <v>416</v>
      </c>
      <c r="B419" s="1" t="s">
        <v>1152</v>
      </c>
      <c r="C419" s="24">
        <v>45878</v>
      </c>
      <c r="D419" s="1" t="s">
        <v>398</v>
      </c>
      <c r="E419" s="15" t="s">
        <v>399</v>
      </c>
      <c r="F419" s="1" t="s">
        <v>30</v>
      </c>
      <c r="G419" s="32">
        <v>174000</v>
      </c>
      <c r="H419" s="1" t="s">
        <v>7</v>
      </c>
      <c r="I419" s="1">
        <v>12</v>
      </c>
    </row>
    <row r="420" spans="1:9" x14ac:dyDescent="0.35">
      <c r="A420" s="1">
        <f>ROW()-ROW(BARANGMASUK!$A$3)</f>
        <v>417</v>
      </c>
      <c r="B420" s="1" t="s">
        <v>1153</v>
      </c>
      <c r="C420" s="24">
        <v>45878</v>
      </c>
      <c r="D420" s="1" t="s">
        <v>1149</v>
      </c>
      <c r="E420" s="15" t="s">
        <v>1150</v>
      </c>
      <c r="F420" s="1" t="s">
        <v>35</v>
      </c>
      <c r="G420" s="32">
        <v>365000</v>
      </c>
      <c r="H420" s="1" t="s">
        <v>7</v>
      </c>
      <c r="I420" s="1">
        <v>2</v>
      </c>
    </row>
    <row r="421" spans="1:9" x14ac:dyDescent="0.35">
      <c r="A421" s="1">
        <f>ROW()-ROW(BARANGMASUK!$A$3)</f>
        <v>418</v>
      </c>
      <c r="B421" s="1" t="s">
        <v>1154</v>
      </c>
      <c r="C421" s="24">
        <v>45878</v>
      </c>
      <c r="D421" s="1" t="s">
        <v>70</v>
      </c>
      <c r="E421" s="15" t="s">
        <v>71</v>
      </c>
      <c r="F421" s="1" t="s">
        <v>35</v>
      </c>
      <c r="G421" s="32">
        <v>95500</v>
      </c>
      <c r="H421" s="1" t="s">
        <v>7</v>
      </c>
      <c r="I421" s="1">
        <v>1</v>
      </c>
    </row>
    <row r="422" spans="1:9" x14ac:dyDescent="0.35">
      <c r="A422" s="1">
        <f>ROW()-ROW(BARANGMASUK!$A$3)</f>
        <v>419</v>
      </c>
      <c r="B422" s="1" t="s">
        <v>1155</v>
      </c>
      <c r="C422" s="24">
        <v>45878</v>
      </c>
      <c r="D422" s="1" t="s">
        <v>68</v>
      </c>
      <c r="E422" s="15" t="s">
        <v>69</v>
      </c>
      <c r="F422" s="1" t="s">
        <v>35</v>
      </c>
      <c r="G422" s="32">
        <v>95000</v>
      </c>
      <c r="H422" s="1" t="s">
        <v>7</v>
      </c>
      <c r="I422" s="1">
        <v>1</v>
      </c>
    </row>
    <row r="423" spans="1:9" x14ac:dyDescent="0.35">
      <c r="A423" s="1">
        <f>ROW()-ROW(BARANGMASUK!$A$3)</f>
        <v>420</v>
      </c>
      <c r="B423" s="1" t="s">
        <v>1156</v>
      </c>
      <c r="C423" s="24">
        <v>45878</v>
      </c>
      <c r="D423" s="1" t="s">
        <v>72</v>
      </c>
      <c r="E423" s="15" t="s">
        <v>73</v>
      </c>
      <c r="F423" s="1" t="s">
        <v>35</v>
      </c>
      <c r="G423" s="32">
        <v>95500</v>
      </c>
      <c r="H423" s="1" t="s">
        <v>7</v>
      </c>
      <c r="I423" s="1">
        <v>1</v>
      </c>
    </row>
    <row r="424" spans="1:9" x14ac:dyDescent="0.35">
      <c r="A424" s="1">
        <f>ROW()-ROW(BARANGMASUK!$A$3)</f>
        <v>421</v>
      </c>
      <c r="B424" s="1" t="s">
        <v>1157</v>
      </c>
      <c r="C424" s="24">
        <v>45878</v>
      </c>
      <c r="D424" s="1" t="s">
        <v>936</v>
      </c>
      <c r="E424" s="15" t="s">
        <v>937</v>
      </c>
      <c r="F424" s="1" t="s">
        <v>35</v>
      </c>
      <c r="G424" s="32">
        <v>314000</v>
      </c>
      <c r="H424" s="1" t="s">
        <v>7</v>
      </c>
      <c r="I424" s="1">
        <v>2</v>
      </c>
    </row>
    <row r="425" spans="1:9" x14ac:dyDescent="0.35">
      <c r="A425" s="1">
        <f>ROW()-ROW(BARANGMASUK!$A$3)</f>
        <v>422</v>
      </c>
      <c r="B425" s="1" t="s">
        <v>1158</v>
      </c>
      <c r="C425" s="24">
        <v>45878</v>
      </c>
      <c r="D425" s="1" t="s">
        <v>938</v>
      </c>
      <c r="E425" s="15" t="s">
        <v>939</v>
      </c>
      <c r="F425" s="1" t="s">
        <v>35</v>
      </c>
      <c r="G425" s="32">
        <v>107000</v>
      </c>
      <c r="H425" s="1" t="s">
        <v>7</v>
      </c>
      <c r="I425" s="1">
        <v>1</v>
      </c>
    </row>
    <row r="426" spans="1:9" x14ac:dyDescent="0.35">
      <c r="A426" s="1">
        <f>ROW()-ROW(BARANGMASUK!$A$3)</f>
        <v>423</v>
      </c>
      <c r="B426" s="1" t="s">
        <v>1159</v>
      </c>
      <c r="C426" s="24">
        <v>45878</v>
      </c>
      <c r="D426" s="1" t="s">
        <v>942</v>
      </c>
      <c r="E426" s="15" t="s">
        <v>943</v>
      </c>
      <c r="F426" s="1" t="s">
        <v>35</v>
      </c>
      <c r="G426" s="32">
        <v>110000</v>
      </c>
      <c r="H426" s="1" t="s">
        <v>7</v>
      </c>
      <c r="I426" s="1">
        <v>1</v>
      </c>
    </row>
    <row r="427" spans="1:9" x14ac:dyDescent="0.35">
      <c r="A427" s="1">
        <f>ROW()-ROW(BARANGMASUK!$A$3)</f>
        <v>424</v>
      </c>
      <c r="B427" s="1" t="s">
        <v>1160</v>
      </c>
      <c r="C427" s="24">
        <v>45878</v>
      </c>
      <c r="D427" s="1" t="s">
        <v>940</v>
      </c>
      <c r="E427" s="15" t="s">
        <v>941</v>
      </c>
      <c r="F427" s="1" t="s">
        <v>35</v>
      </c>
      <c r="G427" s="32">
        <v>107000</v>
      </c>
      <c r="H427" s="1" t="s">
        <v>7</v>
      </c>
      <c r="I427" s="1">
        <v>1</v>
      </c>
    </row>
    <row r="428" spans="1:9" x14ac:dyDescent="0.35">
      <c r="A428" s="1">
        <f>ROW()-ROW(BARANGMASUK!$A$3)</f>
        <v>425</v>
      </c>
      <c r="B428" s="1" t="s">
        <v>1175</v>
      </c>
      <c r="C428" s="24">
        <v>45882</v>
      </c>
      <c r="D428" s="1" t="s">
        <v>25</v>
      </c>
      <c r="E428" s="15" t="s">
        <v>50</v>
      </c>
      <c r="F428" s="1" t="s">
        <v>27</v>
      </c>
      <c r="G428" s="32">
        <v>275000</v>
      </c>
      <c r="H428" s="1" t="s">
        <v>7</v>
      </c>
      <c r="I428" s="1">
        <v>5</v>
      </c>
    </row>
    <row r="429" spans="1:9" x14ac:dyDescent="0.35">
      <c r="A429" s="1">
        <f>ROW()-ROW(BARANGMASUK!$A$3)</f>
        <v>426</v>
      </c>
      <c r="B429" s="1" t="s">
        <v>1176</v>
      </c>
      <c r="C429" s="24">
        <v>45897</v>
      </c>
      <c r="D429" s="1" t="s">
        <v>25</v>
      </c>
      <c r="E429" s="15" t="s">
        <v>50</v>
      </c>
      <c r="F429" s="1" t="s">
        <v>27</v>
      </c>
      <c r="G429" s="32">
        <v>275000</v>
      </c>
      <c r="H429" s="1" t="s">
        <v>7</v>
      </c>
      <c r="I429" s="1">
        <v>5</v>
      </c>
    </row>
    <row r="430" spans="1:9" x14ac:dyDescent="0.35">
      <c r="A430" s="1">
        <f>ROW()-ROW(BARANGMASUK!$A$3)</f>
        <v>427</v>
      </c>
      <c r="B430" s="1" t="s">
        <v>1203</v>
      </c>
      <c r="C430" s="24">
        <v>45915</v>
      </c>
      <c r="D430" s="1" t="s">
        <v>25</v>
      </c>
      <c r="E430" s="15" t="s">
        <v>50</v>
      </c>
      <c r="F430" s="1" t="s">
        <v>27</v>
      </c>
      <c r="G430" s="32">
        <v>260000</v>
      </c>
      <c r="H430" s="1" t="s">
        <v>7</v>
      </c>
      <c r="I430" s="1">
        <v>5</v>
      </c>
    </row>
    <row r="431" spans="1:9" x14ac:dyDescent="0.35">
      <c r="A431" s="1">
        <f>ROW()-ROW(BARANGMASUK!$A$3)</f>
        <v>428</v>
      </c>
      <c r="B431" s="1" t="s">
        <v>1215</v>
      </c>
      <c r="C431" s="24">
        <v>45919</v>
      </c>
      <c r="D431" s="1" t="s">
        <v>198</v>
      </c>
      <c r="E431" s="15" t="s">
        <v>199</v>
      </c>
      <c r="F431" s="1" t="s">
        <v>106</v>
      </c>
      <c r="G431" s="32">
        <v>40000</v>
      </c>
      <c r="H431" s="1" t="s">
        <v>7</v>
      </c>
      <c r="I431" s="1">
        <v>2</v>
      </c>
    </row>
    <row r="432" spans="1:9" x14ac:dyDescent="0.35">
      <c r="A432" s="1">
        <f>ROW()-ROW(BARANGMASUK!$A$3)</f>
        <v>429</v>
      </c>
      <c r="B432" s="1" t="s">
        <v>1233</v>
      </c>
      <c r="C432" s="24">
        <v>45931</v>
      </c>
      <c r="D432" s="1" t="s">
        <v>1092</v>
      </c>
      <c r="E432" s="15" t="s">
        <v>1093</v>
      </c>
      <c r="F432" s="1" t="s">
        <v>30</v>
      </c>
      <c r="G432" s="32">
        <v>899100</v>
      </c>
      <c r="H432" s="1" t="s">
        <v>7</v>
      </c>
      <c r="I432" s="1">
        <v>6</v>
      </c>
    </row>
    <row r="433" spans="1:9" x14ac:dyDescent="0.35">
      <c r="A433" s="1">
        <f>ROW()-ROW(BARANGMASUK!$A$3)</f>
        <v>430</v>
      </c>
      <c r="B433" s="1" t="s">
        <v>1234</v>
      </c>
      <c r="C433" s="24">
        <v>45931</v>
      </c>
      <c r="D433" s="1" t="s">
        <v>936</v>
      </c>
      <c r="E433" s="15" t="s">
        <v>937</v>
      </c>
      <c r="F433" s="1" t="s">
        <v>35</v>
      </c>
      <c r="G433" s="32">
        <v>888000</v>
      </c>
      <c r="H433" s="1" t="s">
        <v>7</v>
      </c>
      <c r="I433" s="1">
        <v>9</v>
      </c>
    </row>
    <row r="434" spans="1:9" x14ac:dyDescent="0.35">
      <c r="A434" s="1">
        <f>ROW()-ROW(BARANGMASUK!$A$3)</f>
        <v>431</v>
      </c>
      <c r="B434" s="1" t="s">
        <v>1235</v>
      </c>
      <c r="C434" s="24">
        <v>45931</v>
      </c>
      <c r="D434" s="1" t="s">
        <v>938</v>
      </c>
      <c r="E434" s="15" t="s">
        <v>939</v>
      </c>
      <c r="F434" s="1" t="s">
        <v>35</v>
      </c>
      <c r="G434" s="32">
        <v>466200</v>
      </c>
      <c r="H434" s="1" t="s">
        <v>7</v>
      </c>
      <c r="I434" s="1">
        <v>4</v>
      </c>
    </row>
    <row r="435" spans="1:9" x14ac:dyDescent="0.35">
      <c r="A435" s="1">
        <f>ROW()-ROW(BARANGMASUK!$A$3)</f>
        <v>432</v>
      </c>
      <c r="B435" s="1" t="s">
        <v>1236</v>
      </c>
      <c r="C435" s="24">
        <v>45931</v>
      </c>
      <c r="D435" s="1" t="s">
        <v>940</v>
      </c>
      <c r="E435" s="15" t="s">
        <v>941</v>
      </c>
      <c r="F435" s="1" t="s">
        <v>35</v>
      </c>
      <c r="G435" s="32">
        <v>466200</v>
      </c>
      <c r="H435" s="1" t="s">
        <v>7</v>
      </c>
      <c r="I435" s="1">
        <v>4</v>
      </c>
    </row>
    <row r="436" spans="1:9" x14ac:dyDescent="0.35">
      <c r="A436" s="1">
        <f>ROW()-ROW(BARANGMASUK!$A$3)</f>
        <v>433</v>
      </c>
      <c r="B436" s="1" t="s">
        <v>1237</v>
      </c>
      <c r="C436" s="24">
        <v>45931</v>
      </c>
      <c r="D436" s="1" t="s">
        <v>942</v>
      </c>
      <c r="E436" s="15" t="s">
        <v>943</v>
      </c>
      <c r="F436" s="1" t="s">
        <v>35</v>
      </c>
      <c r="G436" s="32">
        <v>466200</v>
      </c>
      <c r="H436" s="1" t="s">
        <v>7</v>
      </c>
      <c r="I436" s="1">
        <v>4</v>
      </c>
    </row>
    <row r="437" spans="1:9" x14ac:dyDescent="0.35">
      <c r="A437" s="1">
        <f>ROW()-ROW(BARANGMASUK!$A$3)</f>
        <v>434</v>
      </c>
      <c r="B437" s="1" t="s">
        <v>1238</v>
      </c>
      <c r="C437" s="24">
        <v>45931</v>
      </c>
      <c r="D437" s="1" t="s">
        <v>308</v>
      </c>
      <c r="E437" s="15" t="s">
        <v>309</v>
      </c>
      <c r="F437" s="1" t="s">
        <v>35</v>
      </c>
      <c r="G437" s="32">
        <v>488400</v>
      </c>
      <c r="H437" s="1" t="s">
        <v>7</v>
      </c>
      <c r="I437" s="1">
        <v>4</v>
      </c>
    </row>
    <row r="438" spans="1:9" x14ac:dyDescent="0.35">
      <c r="A438" s="1">
        <f>ROW()-ROW(BARANGMASUK!$A$3)</f>
        <v>435</v>
      </c>
      <c r="B438" s="1" t="s">
        <v>1239</v>
      </c>
      <c r="C438" s="24">
        <v>45931</v>
      </c>
      <c r="D438" s="1" t="s">
        <v>314</v>
      </c>
      <c r="E438" s="15" t="s">
        <v>315</v>
      </c>
      <c r="F438" s="1" t="s">
        <v>35</v>
      </c>
      <c r="G438" s="32">
        <v>244200</v>
      </c>
      <c r="H438" s="1" t="s">
        <v>7</v>
      </c>
      <c r="I438" s="1">
        <v>2</v>
      </c>
    </row>
    <row r="439" spans="1:9" x14ac:dyDescent="0.35">
      <c r="A439" s="1">
        <f>ROW()-ROW(BARANGMASUK!$A$3)</f>
        <v>436</v>
      </c>
      <c r="B439" s="1" t="s">
        <v>1240</v>
      </c>
      <c r="C439" s="24">
        <v>45931</v>
      </c>
      <c r="D439" s="1" t="s">
        <v>312</v>
      </c>
      <c r="E439" s="15" t="s">
        <v>313</v>
      </c>
      <c r="F439" s="1" t="s">
        <v>35</v>
      </c>
      <c r="G439" s="32">
        <v>244200</v>
      </c>
      <c r="H439" s="1" t="s">
        <v>7</v>
      </c>
      <c r="I439" s="1">
        <v>2</v>
      </c>
    </row>
    <row r="440" spans="1:9" x14ac:dyDescent="0.35">
      <c r="A440" s="1">
        <f>ROW()-ROW(BARANGMASUK!$A$3)</f>
        <v>437</v>
      </c>
      <c r="B440" s="1" t="s">
        <v>1241</v>
      </c>
      <c r="C440" s="24">
        <v>45931</v>
      </c>
      <c r="D440" s="1" t="s">
        <v>310</v>
      </c>
      <c r="E440" s="15" t="s">
        <v>311</v>
      </c>
      <c r="F440" s="1" t="s">
        <v>35</v>
      </c>
      <c r="G440" s="32">
        <v>244200</v>
      </c>
      <c r="H440" s="1" t="s">
        <v>7</v>
      </c>
      <c r="I440" s="1">
        <v>2</v>
      </c>
    </row>
    <row r="441" spans="1:9" x14ac:dyDescent="0.35">
      <c r="A441" s="1">
        <f>ROW()-ROW(BARANGMASUK!$A$3)</f>
        <v>438</v>
      </c>
      <c r="B441" s="1" t="s">
        <v>1242</v>
      </c>
      <c r="C441" s="24">
        <v>45931</v>
      </c>
      <c r="D441" s="1" t="s">
        <v>28</v>
      </c>
      <c r="E441" s="15" t="s">
        <v>51</v>
      </c>
      <c r="F441" s="1" t="s">
        <v>35</v>
      </c>
      <c r="G441" s="32">
        <v>1931400</v>
      </c>
      <c r="H441" s="1" t="s">
        <v>7</v>
      </c>
      <c r="I441" s="1">
        <v>6</v>
      </c>
    </row>
    <row r="442" spans="1:9" x14ac:dyDescent="0.35">
      <c r="A442" s="1">
        <f>ROW()-ROW(BARANGMASUK!$A$3)</f>
        <v>439</v>
      </c>
      <c r="B442" s="1" t="s">
        <v>1243</v>
      </c>
      <c r="C442" s="24">
        <v>45931</v>
      </c>
      <c r="D442" s="1" t="s">
        <v>52</v>
      </c>
      <c r="E442" s="15" t="s">
        <v>53</v>
      </c>
      <c r="F442" s="1" t="s">
        <v>35</v>
      </c>
      <c r="G442" s="32">
        <v>1304250</v>
      </c>
      <c r="H442" s="1" t="s">
        <v>7</v>
      </c>
      <c r="I442" s="1">
        <v>5</v>
      </c>
    </row>
    <row r="443" spans="1:9" x14ac:dyDescent="0.35">
      <c r="A443" s="1">
        <f>ROW()-ROW(BARANGMASUK!$A$3)</f>
        <v>440</v>
      </c>
      <c r="B443" s="1" t="s">
        <v>1244</v>
      </c>
      <c r="C443" s="24">
        <v>45931</v>
      </c>
      <c r="D443" s="1" t="s">
        <v>54</v>
      </c>
      <c r="E443" s="15" t="s">
        <v>55</v>
      </c>
      <c r="F443" s="1" t="s">
        <v>35</v>
      </c>
      <c r="G443" s="32">
        <v>1304250</v>
      </c>
      <c r="H443" s="1" t="s">
        <v>7</v>
      </c>
      <c r="I443" s="1">
        <v>5</v>
      </c>
    </row>
    <row r="444" spans="1:9" x14ac:dyDescent="0.35">
      <c r="A444" s="1">
        <f>ROW()-ROW(BARANGMASUK!$A$3)</f>
        <v>441</v>
      </c>
      <c r="B444" s="1" t="s">
        <v>1245</v>
      </c>
      <c r="C444" s="24">
        <v>45931</v>
      </c>
      <c r="D444" s="1" t="s">
        <v>56</v>
      </c>
      <c r="E444" s="15" t="s">
        <v>57</v>
      </c>
      <c r="F444" s="1" t="s">
        <v>35</v>
      </c>
      <c r="G444" s="32">
        <v>1304250</v>
      </c>
      <c r="H444" s="1" t="s">
        <v>7</v>
      </c>
      <c r="I444" s="1">
        <v>5</v>
      </c>
    </row>
    <row r="445" spans="1:9" x14ac:dyDescent="0.35">
      <c r="A445" s="1">
        <f>ROW()-ROW(BARANGMASUK!$A$3)</f>
        <v>442</v>
      </c>
      <c r="B445" s="1" t="s">
        <v>1246</v>
      </c>
      <c r="C445" s="24">
        <v>45931</v>
      </c>
      <c r="D445" s="1" t="s">
        <v>66</v>
      </c>
      <c r="E445" s="15" t="s">
        <v>67</v>
      </c>
      <c r="F445" s="1" t="s">
        <v>35</v>
      </c>
      <c r="G445" s="32">
        <v>821400</v>
      </c>
      <c r="H445" s="1" t="s">
        <v>7</v>
      </c>
      <c r="I445" s="1">
        <v>4</v>
      </c>
    </row>
    <row r="446" spans="1:9" x14ac:dyDescent="0.35">
      <c r="A446" s="1">
        <f>ROW()-ROW(BARANGMASUK!$A$3)</f>
        <v>443</v>
      </c>
      <c r="B446" s="1" t="s">
        <v>1247</v>
      </c>
      <c r="C446" s="24">
        <v>45931</v>
      </c>
      <c r="D446" s="1" t="s">
        <v>68</v>
      </c>
      <c r="E446" s="15" t="s">
        <v>69</v>
      </c>
      <c r="F446" s="1" t="s">
        <v>35</v>
      </c>
      <c r="G446" s="32">
        <v>316350</v>
      </c>
      <c r="H446" s="1" t="s">
        <v>7</v>
      </c>
      <c r="I446" s="1">
        <v>3</v>
      </c>
    </row>
    <row r="447" spans="1:9" x14ac:dyDescent="0.35">
      <c r="A447" s="1">
        <f>ROW()-ROW(BARANGMASUK!$A$3)</f>
        <v>444</v>
      </c>
      <c r="B447" s="1" t="s">
        <v>1248</v>
      </c>
      <c r="C447" s="24">
        <v>45931</v>
      </c>
      <c r="D447" s="1" t="s">
        <v>72</v>
      </c>
      <c r="E447" s="15" t="s">
        <v>73</v>
      </c>
      <c r="F447" s="1" t="s">
        <v>35</v>
      </c>
      <c r="G447" s="32">
        <v>316350</v>
      </c>
      <c r="H447" s="1" t="s">
        <v>7</v>
      </c>
      <c r="I447" s="1">
        <v>3</v>
      </c>
    </row>
    <row r="448" spans="1:9" x14ac:dyDescent="0.35">
      <c r="A448" s="1">
        <f>ROW()-ROW(BARANGMASUK!$A$3)</f>
        <v>445</v>
      </c>
      <c r="B448" s="1" t="s">
        <v>1249</v>
      </c>
      <c r="C448" s="24">
        <v>45931</v>
      </c>
      <c r="D448" s="1" t="s">
        <v>25</v>
      </c>
      <c r="E448" s="15" t="s">
        <v>50</v>
      </c>
      <c r="F448" s="1" t="s">
        <v>27</v>
      </c>
      <c r="G448" s="32">
        <v>2175600</v>
      </c>
      <c r="H448" s="1" t="s">
        <v>7</v>
      </c>
      <c r="I448" s="1">
        <v>40</v>
      </c>
    </row>
    <row r="449" spans="1:9" x14ac:dyDescent="0.35">
      <c r="A449" s="1">
        <f>ROW()-ROW(BARANGMASUK!$A$3)</f>
        <v>446</v>
      </c>
      <c r="B449" s="1" t="s">
        <v>1250</v>
      </c>
      <c r="C449" s="24">
        <v>45931</v>
      </c>
      <c r="D449" s="1" t="s">
        <v>48</v>
      </c>
      <c r="E449" s="15" t="s">
        <v>49</v>
      </c>
      <c r="F449" s="1" t="s">
        <v>27</v>
      </c>
      <c r="G449" s="32">
        <v>305250</v>
      </c>
      <c r="H449" s="1" t="s">
        <v>7</v>
      </c>
      <c r="I449" s="1">
        <v>5</v>
      </c>
    </row>
    <row r="450" spans="1:9" x14ac:dyDescent="0.35">
      <c r="A450" s="1">
        <f>ROW()-ROW(BARANGMASUK!$A$3)</f>
        <v>447</v>
      </c>
      <c r="B450" s="1" t="s">
        <v>1251</v>
      </c>
      <c r="C450" s="24">
        <v>45931</v>
      </c>
      <c r="D450" s="1" t="s">
        <v>92</v>
      </c>
      <c r="E450" s="15" t="s">
        <v>93</v>
      </c>
      <c r="F450" s="1" t="s">
        <v>106</v>
      </c>
      <c r="G450" s="32">
        <v>333000</v>
      </c>
      <c r="H450" s="1" t="s">
        <v>7</v>
      </c>
      <c r="I450" s="1">
        <v>2</v>
      </c>
    </row>
    <row r="451" spans="1:9" x14ac:dyDescent="0.35">
      <c r="A451" s="1">
        <f>ROW()-ROW(BARANGMASUK!$A$3)</f>
        <v>448</v>
      </c>
      <c r="B451" s="1" t="s">
        <v>1252</v>
      </c>
      <c r="C451" s="24">
        <v>45931</v>
      </c>
      <c r="D451" s="1" t="s">
        <v>861</v>
      </c>
      <c r="E451" s="15" t="s">
        <v>862</v>
      </c>
      <c r="F451" s="1" t="s">
        <v>562</v>
      </c>
      <c r="G451" s="32">
        <v>108225</v>
      </c>
      <c r="H451" s="1" t="s">
        <v>7</v>
      </c>
      <c r="I451" s="1">
        <v>15</v>
      </c>
    </row>
    <row r="452" spans="1:9" x14ac:dyDescent="0.35">
      <c r="A452" s="1">
        <f>ROW()-ROW(BARANGMASUK!$A$3)</f>
        <v>449</v>
      </c>
      <c r="B452" s="1" t="s">
        <v>1253</v>
      </c>
      <c r="C452" s="24">
        <v>45931</v>
      </c>
      <c r="D452" s="1" t="s">
        <v>460</v>
      </c>
      <c r="E452" s="15" t="s">
        <v>463</v>
      </c>
      <c r="F452" s="1" t="s">
        <v>30</v>
      </c>
      <c r="G452" s="32">
        <v>55500</v>
      </c>
      <c r="H452" s="1" t="s">
        <v>7</v>
      </c>
      <c r="I452" s="1">
        <v>5</v>
      </c>
    </row>
    <row r="453" spans="1:9" x14ac:dyDescent="0.35">
      <c r="A453" s="1">
        <f>ROW()-ROW(BARANGMASUK!$A$3)</f>
        <v>450</v>
      </c>
      <c r="B453" s="1" t="s">
        <v>1268</v>
      </c>
      <c r="C453" s="24">
        <v>45292</v>
      </c>
      <c r="D453" s="1" t="s">
        <v>645</v>
      </c>
      <c r="E453" s="15" t="s">
        <v>646</v>
      </c>
      <c r="F453" s="1" t="s">
        <v>562</v>
      </c>
      <c r="G453" s="32">
        <v>27000</v>
      </c>
      <c r="H453" s="1" t="s">
        <v>7</v>
      </c>
      <c r="I453" s="1">
        <v>0</v>
      </c>
    </row>
    <row r="454" spans="1:9" x14ac:dyDescent="0.35">
      <c r="A454" s="1">
        <f>ROW()-ROW(BARANGMASUK!$A$3)</f>
        <v>451</v>
      </c>
      <c r="B454" s="1" t="s">
        <v>1272</v>
      </c>
      <c r="C454" s="24">
        <v>45954</v>
      </c>
      <c r="D454" s="1" t="s">
        <v>1269</v>
      </c>
      <c r="E454" s="15" t="s">
        <v>1270</v>
      </c>
      <c r="F454" s="1" t="s">
        <v>106</v>
      </c>
      <c r="G454" s="32">
        <v>57000</v>
      </c>
      <c r="H454" s="1" t="s">
        <v>7</v>
      </c>
      <c r="I454" s="1">
        <v>1</v>
      </c>
    </row>
    <row r="455" spans="1:9" x14ac:dyDescent="0.35">
      <c r="A455" s="1">
        <f>ROW()-ROW(BARANGMASUK!$A$3)</f>
        <v>452</v>
      </c>
      <c r="B455" s="1" t="s">
        <v>1273</v>
      </c>
      <c r="C455" s="24">
        <v>45931</v>
      </c>
      <c r="D455" s="1" t="s">
        <v>70</v>
      </c>
      <c r="E455" s="15" t="s">
        <v>71</v>
      </c>
      <c r="F455" s="1" t="s">
        <v>35</v>
      </c>
      <c r="G455" s="32">
        <v>316350</v>
      </c>
      <c r="H455" s="1" t="s">
        <v>7</v>
      </c>
      <c r="I455" s="1">
        <v>3</v>
      </c>
    </row>
    <row r="456" spans="1:9" x14ac:dyDescent="0.35">
      <c r="A456" s="1">
        <f>ROW()-ROW(BARANGMASUK!$A$3)</f>
        <v>453</v>
      </c>
      <c r="B456" s="1" t="s">
        <v>1274</v>
      </c>
      <c r="C456" s="24">
        <v>45942</v>
      </c>
      <c r="D456" s="1" t="s">
        <v>148</v>
      </c>
      <c r="E456" s="15" t="s">
        <v>149</v>
      </c>
      <c r="F456" s="1" t="s">
        <v>41</v>
      </c>
      <c r="G456" s="32">
        <v>27000</v>
      </c>
      <c r="H456" s="1" t="s">
        <v>7</v>
      </c>
      <c r="I456" s="1">
        <v>1</v>
      </c>
    </row>
    <row r="457" spans="1:9" x14ac:dyDescent="0.35">
      <c r="A457" s="1">
        <f>ROW()-ROW(BARANGMASUK!$A$3)</f>
        <v>454</v>
      </c>
      <c r="B457" s="1" t="s">
        <v>1288</v>
      </c>
      <c r="C457" s="24">
        <v>45971</v>
      </c>
      <c r="D457" s="1" t="s">
        <v>1269</v>
      </c>
      <c r="E457" s="15" t="s">
        <v>1270</v>
      </c>
      <c r="F457" s="1" t="s">
        <v>106</v>
      </c>
      <c r="G457" s="32">
        <v>39000</v>
      </c>
      <c r="H457" s="1" t="s">
        <v>7</v>
      </c>
      <c r="I457" s="1">
        <v>1</v>
      </c>
    </row>
    <row r="458" spans="1:9" x14ac:dyDescent="0.35">
      <c r="A458" s="1">
        <f>ROW()-ROW(BARANGMASUK!$A$3)</f>
        <v>455</v>
      </c>
      <c r="B458" s="1" t="s">
        <v>1289</v>
      </c>
      <c r="C458" s="24">
        <v>46005</v>
      </c>
      <c r="D458" s="1" t="s">
        <v>25</v>
      </c>
      <c r="E458" s="15" t="s">
        <v>50</v>
      </c>
      <c r="F458" s="1" t="s">
        <v>27</v>
      </c>
      <c r="G458" s="32">
        <v>886000</v>
      </c>
      <c r="H458" s="1" t="s">
        <v>7</v>
      </c>
      <c r="I458" s="1">
        <v>20</v>
      </c>
    </row>
    <row r="459" spans="1:9" x14ac:dyDescent="0.35">
      <c r="A459" s="1">
        <f>ROW()-ROW(BARANGMASUK!$A$3)</f>
        <v>456</v>
      </c>
      <c r="B459" s="1" t="s">
        <v>1290</v>
      </c>
      <c r="C459" s="24">
        <v>46005</v>
      </c>
      <c r="D459" s="1" t="s">
        <v>58</v>
      </c>
      <c r="E459" s="15" t="s">
        <v>59</v>
      </c>
      <c r="F459" s="1" t="s">
        <v>35</v>
      </c>
      <c r="G459" s="32">
        <v>191000</v>
      </c>
      <c r="H459" s="1" t="s">
        <v>7</v>
      </c>
      <c r="I459" s="1">
        <v>2</v>
      </c>
    </row>
    <row r="460" spans="1:9" x14ac:dyDescent="0.35">
      <c r="A460" s="1">
        <f>ROW()-ROW(BARANGMASUK!$A$3)</f>
        <v>457</v>
      </c>
      <c r="B460" s="1" t="s">
        <v>1291</v>
      </c>
      <c r="C460" s="24">
        <v>46005</v>
      </c>
      <c r="D460" s="1" t="s">
        <v>60</v>
      </c>
      <c r="E460" s="15" t="s">
        <v>61</v>
      </c>
      <c r="F460" s="1" t="s">
        <v>35</v>
      </c>
      <c r="G460" s="32">
        <v>95500</v>
      </c>
      <c r="H460" s="1" t="s">
        <v>7</v>
      </c>
      <c r="I460" s="1">
        <v>1</v>
      </c>
    </row>
    <row r="461" spans="1:9" x14ac:dyDescent="0.35">
      <c r="A461" s="1">
        <f>ROW()-ROW(BARANGMASUK!$A$3)</f>
        <v>458</v>
      </c>
      <c r="B461" s="1" t="s">
        <v>1292</v>
      </c>
      <c r="C461" s="24">
        <v>46005</v>
      </c>
      <c r="D461" s="1" t="s">
        <v>62</v>
      </c>
      <c r="E461" s="15" t="s">
        <v>63</v>
      </c>
      <c r="F461" s="1" t="s">
        <v>35</v>
      </c>
      <c r="G461" s="32">
        <v>95500</v>
      </c>
      <c r="H461" s="1" t="s">
        <v>7</v>
      </c>
      <c r="I461" s="1">
        <v>1</v>
      </c>
    </row>
    <row r="462" spans="1:9" x14ac:dyDescent="0.35">
      <c r="A462" s="1">
        <f>ROW()-ROW(BARANGMASUK!$A$3)</f>
        <v>459</v>
      </c>
      <c r="B462" s="1" t="s">
        <v>1293</v>
      </c>
      <c r="C462" s="24">
        <v>46005</v>
      </c>
      <c r="D462" s="1" t="s">
        <v>64</v>
      </c>
      <c r="E462" s="15" t="s">
        <v>65</v>
      </c>
      <c r="F462" s="1" t="s">
        <v>35</v>
      </c>
      <c r="G462" s="32">
        <v>95500</v>
      </c>
      <c r="H462" s="1" t="s">
        <v>7</v>
      </c>
      <c r="I462" s="1">
        <v>1</v>
      </c>
    </row>
    <row r="463" spans="1:9" x14ac:dyDescent="0.35">
      <c r="A463" s="1">
        <f>ROW()-ROW(BARANGMASUK!$A$3)</f>
        <v>460</v>
      </c>
      <c r="B463" s="1" t="s">
        <v>1294</v>
      </c>
      <c r="C463" s="24">
        <v>46005</v>
      </c>
      <c r="D463" s="1" t="s">
        <v>1149</v>
      </c>
      <c r="E463" s="15" t="s">
        <v>1150</v>
      </c>
      <c r="F463" s="1" t="s">
        <v>35</v>
      </c>
      <c r="G463" s="32">
        <v>182500</v>
      </c>
      <c r="H463" s="1" t="s">
        <v>7</v>
      </c>
      <c r="I463" s="1">
        <v>1</v>
      </c>
    </row>
    <row r="464" spans="1:9" x14ac:dyDescent="0.35">
      <c r="A464" s="1">
        <f>ROW()-ROW(BARANGMASUK!$A$3)</f>
        <v>461</v>
      </c>
      <c r="B464" s="1" t="s">
        <v>1299</v>
      </c>
      <c r="C464" s="24">
        <v>46005</v>
      </c>
      <c r="D464" s="1" t="s">
        <v>1295</v>
      </c>
      <c r="E464" s="15" t="s">
        <v>1296</v>
      </c>
      <c r="F464" s="1" t="s">
        <v>106</v>
      </c>
      <c r="G464" s="32">
        <v>193500</v>
      </c>
      <c r="H464" s="1" t="s">
        <v>7</v>
      </c>
      <c r="I464" s="1">
        <v>1</v>
      </c>
    </row>
    <row r="465" spans="1:9" x14ac:dyDescent="0.35">
      <c r="A465" s="1">
        <f>ROW()-ROW(BARANGMASUK!$A$3)</f>
        <v>462</v>
      </c>
      <c r="B465" s="1" t="s">
        <v>1300</v>
      </c>
      <c r="C465" s="24">
        <v>46005</v>
      </c>
      <c r="D465" s="1" t="s">
        <v>1297</v>
      </c>
      <c r="E465" s="15" t="s">
        <v>1298</v>
      </c>
      <c r="F465" s="1" t="s">
        <v>106</v>
      </c>
      <c r="G465" s="32">
        <v>45000</v>
      </c>
      <c r="H465" s="1" t="s">
        <v>7</v>
      </c>
      <c r="I465" s="1">
        <v>2</v>
      </c>
    </row>
    <row r="466" spans="1:9" x14ac:dyDescent="0.35">
      <c r="A466" s="1">
        <f>ROW()-ROW(BARANGMASUK!$A$3)</f>
        <v>463</v>
      </c>
      <c r="B466" s="1" t="s">
        <v>1301</v>
      </c>
      <c r="C466" s="24">
        <v>46005</v>
      </c>
      <c r="D466" s="1" t="s">
        <v>402</v>
      </c>
      <c r="E466" s="15" t="s">
        <v>403</v>
      </c>
      <c r="F466" s="1" t="s">
        <v>41</v>
      </c>
      <c r="G466" s="32">
        <v>546000</v>
      </c>
      <c r="H466" s="1" t="s">
        <v>7</v>
      </c>
      <c r="I466" s="1">
        <v>6</v>
      </c>
    </row>
    <row r="467" spans="1:9" x14ac:dyDescent="0.35">
      <c r="A467" s="1">
        <f>ROW()-ROW(BARANGMASUK!$A$3)</f>
        <v>464</v>
      </c>
      <c r="B467" s="1" t="s">
        <v>1302</v>
      </c>
      <c r="C467" s="24">
        <v>46005</v>
      </c>
      <c r="D467" s="1" t="s">
        <v>614</v>
      </c>
      <c r="E467" s="15" t="s">
        <v>615</v>
      </c>
      <c r="F467" s="1" t="s">
        <v>30</v>
      </c>
      <c r="G467" s="32">
        <v>165000</v>
      </c>
      <c r="H467" s="1" t="s">
        <v>7</v>
      </c>
      <c r="I467" s="1">
        <v>5</v>
      </c>
    </row>
    <row r="468" spans="1:9" x14ac:dyDescent="0.35">
      <c r="A468" s="1">
        <f>ROW()-ROW(BARANGMASUK!$A$3)</f>
        <v>465</v>
      </c>
      <c r="B468" s="1" t="s">
        <v>1303</v>
      </c>
      <c r="C468" s="24">
        <v>46005</v>
      </c>
      <c r="D468" s="1" t="s">
        <v>610</v>
      </c>
      <c r="E468" s="15" t="s">
        <v>611</v>
      </c>
      <c r="F468" s="1" t="s">
        <v>30</v>
      </c>
      <c r="G468" s="32">
        <v>66000</v>
      </c>
      <c r="H468" s="1" t="s">
        <v>7</v>
      </c>
      <c r="I468" s="1">
        <v>2</v>
      </c>
    </row>
    <row r="469" spans="1:9" x14ac:dyDescent="0.35">
      <c r="A469" s="1">
        <f>ROW()-ROW(BARANGMASUK!$A$3)</f>
        <v>466</v>
      </c>
      <c r="B469" s="1" t="s">
        <v>1306</v>
      </c>
      <c r="C469" s="24">
        <v>46005</v>
      </c>
      <c r="D469" s="1" t="s">
        <v>1304</v>
      </c>
      <c r="E469" s="15" t="s">
        <v>1305</v>
      </c>
      <c r="F469" s="1" t="s">
        <v>562</v>
      </c>
      <c r="G469" s="32">
        <v>86000</v>
      </c>
      <c r="H469" s="1" t="s">
        <v>7</v>
      </c>
      <c r="I469" s="1">
        <v>2</v>
      </c>
    </row>
    <row r="470" spans="1:9" x14ac:dyDescent="0.35">
      <c r="A470" s="1">
        <f>ROW()-ROW(BARANGMASUK!$A$3)</f>
        <v>467</v>
      </c>
      <c r="B470" s="1" t="s">
        <v>1309</v>
      </c>
      <c r="C470" s="24">
        <v>46005</v>
      </c>
      <c r="D470" s="1" t="s">
        <v>1307</v>
      </c>
      <c r="E470" s="15" t="s">
        <v>1308</v>
      </c>
      <c r="F470" s="1" t="s">
        <v>30</v>
      </c>
      <c r="G470" s="32">
        <v>19000</v>
      </c>
      <c r="H470" s="1" t="s">
        <v>7</v>
      </c>
      <c r="I470" s="1">
        <v>2</v>
      </c>
    </row>
    <row r="471" spans="1:9" x14ac:dyDescent="0.35">
      <c r="A471" s="1">
        <f>ROW()-ROW(BARANGMASUK!$A$3)</f>
        <v>468</v>
      </c>
      <c r="B471" s="1" t="s">
        <v>1312</v>
      </c>
      <c r="C471" s="24">
        <v>46005</v>
      </c>
      <c r="D471" s="1" t="s">
        <v>1310</v>
      </c>
      <c r="E471" s="15" t="s">
        <v>1311</v>
      </c>
      <c r="F471" s="1" t="s">
        <v>30</v>
      </c>
      <c r="G471" s="32">
        <v>21000</v>
      </c>
      <c r="H471" s="1" t="s">
        <v>7</v>
      </c>
      <c r="I471" s="1">
        <v>2</v>
      </c>
    </row>
    <row r="472" spans="1:9" x14ac:dyDescent="0.35">
      <c r="A472" s="1">
        <f>ROW()-ROW(BARANGMASUK!$A$3)</f>
        <v>469</v>
      </c>
      <c r="B472" s="1" t="s">
        <v>1359</v>
      </c>
      <c r="C472" s="24">
        <v>46005</v>
      </c>
      <c r="D472" s="1" t="s">
        <v>1313</v>
      </c>
      <c r="E472" s="15" t="s">
        <v>1314</v>
      </c>
      <c r="F472" s="1" t="s">
        <v>30</v>
      </c>
      <c r="G472" s="32">
        <v>27000</v>
      </c>
      <c r="H472" s="1" t="s">
        <v>7</v>
      </c>
      <c r="I472" s="1">
        <v>2</v>
      </c>
    </row>
    <row r="473" spans="1:9" x14ac:dyDescent="0.35">
      <c r="A473" s="1">
        <f>ROW()-ROW(BARANGMASUK!$A$3)</f>
        <v>470</v>
      </c>
      <c r="B473" s="1" t="s">
        <v>1360</v>
      </c>
      <c r="C473" s="24">
        <v>46005</v>
      </c>
      <c r="D473" s="1" t="s">
        <v>341</v>
      </c>
      <c r="E473" s="15" t="s">
        <v>1315</v>
      </c>
      <c r="F473" s="1" t="s">
        <v>30</v>
      </c>
      <c r="G473" s="32">
        <v>19000</v>
      </c>
      <c r="H473" s="1" t="s">
        <v>7</v>
      </c>
      <c r="I473" s="1">
        <v>1</v>
      </c>
    </row>
    <row r="474" spans="1:9" x14ac:dyDescent="0.35">
      <c r="A474" s="1">
        <f>ROW()-ROW(BARANGMASUK!$A$3)</f>
        <v>471</v>
      </c>
      <c r="B474" s="1" t="s">
        <v>1361</v>
      </c>
      <c r="C474" s="24">
        <v>46005</v>
      </c>
      <c r="D474" s="1" t="s">
        <v>1316</v>
      </c>
      <c r="E474" s="15" t="s">
        <v>1317</v>
      </c>
      <c r="F474" s="1" t="s">
        <v>562</v>
      </c>
      <c r="G474" s="32">
        <v>8000</v>
      </c>
      <c r="H474" s="1" t="s">
        <v>7</v>
      </c>
      <c r="I474" s="1">
        <v>1</v>
      </c>
    </row>
    <row r="475" spans="1:9" x14ac:dyDescent="0.35">
      <c r="A475" s="1">
        <f>ROW()-ROW(BARANGMASUK!$A$3)</f>
        <v>472</v>
      </c>
      <c r="B475" s="1" t="s">
        <v>1362</v>
      </c>
      <c r="C475" s="24">
        <v>46005</v>
      </c>
      <c r="D475" s="1" t="s">
        <v>1318</v>
      </c>
      <c r="E475" s="15" t="s">
        <v>1319</v>
      </c>
      <c r="F475" s="1" t="s">
        <v>30</v>
      </c>
      <c r="G475" s="32">
        <v>11500</v>
      </c>
      <c r="H475" s="1" t="s">
        <v>7</v>
      </c>
      <c r="I475" s="1">
        <v>1</v>
      </c>
    </row>
    <row r="476" spans="1:9" x14ac:dyDescent="0.35">
      <c r="A476" s="1">
        <f>ROW()-ROW(BARANGMASUK!$A$3)</f>
        <v>473</v>
      </c>
      <c r="B476" s="1" t="s">
        <v>1363</v>
      </c>
      <c r="C476" s="24">
        <v>46005</v>
      </c>
      <c r="D476" s="1" t="s">
        <v>1320</v>
      </c>
      <c r="E476" s="15" t="s">
        <v>1321</v>
      </c>
      <c r="F476" s="1" t="s">
        <v>30</v>
      </c>
      <c r="G476" s="32">
        <v>28000</v>
      </c>
      <c r="H476" s="1" t="s">
        <v>7</v>
      </c>
      <c r="I476" s="1">
        <v>2</v>
      </c>
    </row>
    <row r="477" spans="1:9" x14ac:dyDescent="0.35">
      <c r="A477" s="1">
        <f>ROW()-ROW(BARANGMASUK!$A$3)</f>
        <v>474</v>
      </c>
      <c r="B477" s="1" t="s">
        <v>1364</v>
      </c>
      <c r="C477" s="24">
        <v>46005</v>
      </c>
      <c r="D477" s="1" t="s">
        <v>1322</v>
      </c>
      <c r="E477" s="15" t="s">
        <v>1323</v>
      </c>
      <c r="F477" s="1" t="s">
        <v>562</v>
      </c>
      <c r="G477" s="32">
        <v>22500</v>
      </c>
      <c r="H477" s="1" t="s">
        <v>7</v>
      </c>
      <c r="I477" s="1">
        <v>3</v>
      </c>
    </row>
    <row r="478" spans="1:9" x14ac:dyDescent="0.35">
      <c r="A478" s="1">
        <f>ROW()-ROW(BARANGMASUK!$A$3)</f>
        <v>475</v>
      </c>
      <c r="B478" s="1" t="s">
        <v>1365</v>
      </c>
      <c r="C478" s="24">
        <v>46005</v>
      </c>
      <c r="D478" s="1" t="s">
        <v>1324</v>
      </c>
      <c r="E478" s="15" t="s">
        <v>1325</v>
      </c>
      <c r="F478" s="1" t="s">
        <v>304</v>
      </c>
      <c r="G478" s="32">
        <v>66000</v>
      </c>
      <c r="H478" s="1" t="s">
        <v>7</v>
      </c>
      <c r="I478" s="1">
        <v>2</v>
      </c>
    </row>
    <row r="479" spans="1:9" x14ac:dyDescent="0.35">
      <c r="A479" s="1">
        <f>ROW()-ROW(BARANGMASUK!$A$3)</f>
        <v>476</v>
      </c>
      <c r="B479" s="1" t="s">
        <v>1366</v>
      </c>
      <c r="C479" s="24">
        <v>46005</v>
      </c>
      <c r="D479" s="1" t="s">
        <v>1326</v>
      </c>
      <c r="E479" s="15" t="s">
        <v>1327</v>
      </c>
      <c r="F479" s="1" t="s">
        <v>304</v>
      </c>
      <c r="G479" s="32">
        <v>63000</v>
      </c>
      <c r="H479" s="1" t="s">
        <v>7</v>
      </c>
      <c r="I479" s="1">
        <v>2</v>
      </c>
    </row>
    <row r="480" spans="1:9" x14ac:dyDescent="0.35">
      <c r="A480" s="1">
        <f>ROW()-ROW(BARANGMASUK!$A$3)</f>
        <v>477</v>
      </c>
      <c r="B480" s="1" t="s">
        <v>1367</v>
      </c>
      <c r="C480" s="24">
        <v>46005</v>
      </c>
      <c r="D480" s="1" t="s">
        <v>83</v>
      </c>
      <c r="E480" s="15" t="s">
        <v>84</v>
      </c>
      <c r="F480" s="1" t="s">
        <v>41</v>
      </c>
      <c r="G480" s="32">
        <v>42000</v>
      </c>
      <c r="H480" s="1" t="s">
        <v>7</v>
      </c>
      <c r="I480" s="1">
        <v>2</v>
      </c>
    </row>
    <row r="481" spans="1:9" x14ac:dyDescent="0.35">
      <c r="A481" s="1">
        <f>ROW()-ROW(BARANGMASUK!$A$3)</f>
        <v>478</v>
      </c>
      <c r="B481" s="1" t="s">
        <v>1368</v>
      </c>
      <c r="C481" s="24">
        <v>46005</v>
      </c>
      <c r="D481" s="1" t="s">
        <v>663</v>
      </c>
      <c r="E481" s="15" t="s">
        <v>664</v>
      </c>
      <c r="F481" s="1" t="s">
        <v>562</v>
      </c>
      <c r="G481" s="32">
        <v>40000</v>
      </c>
      <c r="H481" s="1" t="s">
        <v>7</v>
      </c>
      <c r="I481" s="1">
        <v>2</v>
      </c>
    </row>
    <row r="482" spans="1:9" x14ac:dyDescent="0.35">
      <c r="A482" s="1">
        <f>ROW()-ROW(BARANGMASUK!$A$3)</f>
        <v>479</v>
      </c>
      <c r="B482" s="1" t="s">
        <v>1369</v>
      </c>
      <c r="C482" s="24">
        <v>46005</v>
      </c>
      <c r="D482" s="1" t="s">
        <v>119</v>
      </c>
      <c r="E482" s="15" t="s">
        <v>120</v>
      </c>
      <c r="F482" s="1" t="s">
        <v>521</v>
      </c>
      <c r="G482" s="32">
        <v>31500</v>
      </c>
      <c r="H482" s="1" t="s">
        <v>7</v>
      </c>
      <c r="I482" s="1">
        <v>3</v>
      </c>
    </row>
    <row r="483" spans="1:9" x14ac:dyDescent="0.35">
      <c r="A483" s="1">
        <f>ROW()-ROW(BARANGMASUK!$A$3)</f>
        <v>480</v>
      </c>
      <c r="B483" s="1" t="s">
        <v>1370</v>
      </c>
      <c r="C483" s="24">
        <v>46005</v>
      </c>
      <c r="D483" s="1" t="s">
        <v>1355</v>
      </c>
      <c r="E483" s="15" t="s">
        <v>1356</v>
      </c>
      <c r="F483" s="1" t="s">
        <v>304</v>
      </c>
      <c r="G483" s="32">
        <v>42000</v>
      </c>
      <c r="H483" s="1" t="s">
        <v>7</v>
      </c>
      <c r="I483" s="1">
        <v>3</v>
      </c>
    </row>
    <row r="484" spans="1:9" x14ac:dyDescent="0.35">
      <c r="A484" s="1">
        <f>ROW()-ROW(BARANGMASUK!$A$3)</f>
        <v>481</v>
      </c>
      <c r="B484" s="1" t="s">
        <v>1371</v>
      </c>
      <c r="C484" s="24">
        <v>46005</v>
      </c>
      <c r="D484" s="1" t="s">
        <v>444</v>
      </c>
      <c r="E484" s="15" t="s">
        <v>1328</v>
      </c>
      <c r="F484" s="1" t="s">
        <v>106</v>
      </c>
      <c r="G484" s="32">
        <v>35000</v>
      </c>
      <c r="H484" s="1" t="s">
        <v>7</v>
      </c>
      <c r="I484" s="1">
        <v>2</v>
      </c>
    </row>
    <row r="485" spans="1:9" x14ac:dyDescent="0.35">
      <c r="A485" s="1">
        <f>ROW()-ROW(BARANGMASUK!$A$3)</f>
        <v>482</v>
      </c>
      <c r="B485" s="1" t="s">
        <v>1372</v>
      </c>
      <c r="C485" s="24">
        <v>46005</v>
      </c>
      <c r="D485" s="1" t="s">
        <v>436</v>
      </c>
      <c r="E485" s="15" t="s">
        <v>437</v>
      </c>
      <c r="F485" s="1" t="s">
        <v>41</v>
      </c>
      <c r="G485" s="32">
        <v>44500</v>
      </c>
      <c r="H485" s="1" t="s">
        <v>7</v>
      </c>
      <c r="I485" s="1">
        <v>1</v>
      </c>
    </row>
    <row r="486" spans="1:9" x14ac:dyDescent="0.35">
      <c r="A486" s="1">
        <f>ROW()-ROW(BARANGMASUK!$A$3)</f>
        <v>483</v>
      </c>
      <c r="B486" s="1" t="s">
        <v>1373</v>
      </c>
      <c r="C486" s="24">
        <v>46005</v>
      </c>
      <c r="D486" s="1" t="s">
        <v>957</v>
      </c>
      <c r="E486" s="15" t="s">
        <v>958</v>
      </c>
      <c r="F486" s="1" t="s">
        <v>106</v>
      </c>
      <c r="G486" s="32">
        <v>56000</v>
      </c>
      <c r="H486" s="1" t="s">
        <v>7</v>
      </c>
      <c r="I486" s="1">
        <v>2</v>
      </c>
    </row>
    <row r="487" spans="1:9" x14ac:dyDescent="0.35">
      <c r="A487" s="1">
        <f>ROW()-ROW(BARANGMASUK!$A$3)</f>
        <v>484</v>
      </c>
      <c r="B487" s="1" t="s">
        <v>1374</v>
      </c>
      <c r="C487" s="24">
        <v>46005</v>
      </c>
      <c r="D487" s="1" t="s">
        <v>665</v>
      </c>
      <c r="E487" s="15" t="s">
        <v>666</v>
      </c>
      <c r="F487" s="1" t="s">
        <v>41</v>
      </c>
      <c r="G487" s="32">
        <v>58000</v>
      </c>
      <c r="H487" s="1" t="s">
        <v>7</v>
      </c>
      <c r="I487" s="1">
        <v>2</v>
      </c>
    </row>
    <row r="488" spans="1:9" x14ac:dyDescent="0.35">
      <c r="A488" s="1">
        <f>ROW()-ROW(BARANGMASUK!$A$3)</f>
        <v>485</v>
      </c>
      <c r="B488" s="1" t="s">
        <v>1375</v>
      </c>
      <c r="C488" s="24">
        <v>46005</v>
      </c>
      <c r="D488" s="1" t="s">
        <v>438</v>
      </c>
      <c r="E488" s="15" t="s">
        <v>439</v>
      </c>
      <c r="F488" s="1" t="s">
        <v>41</v>
      </c>
      <c r="G488" s="32">
        <v>49500</v>
      </c>
      <c r="H488" s="1" t="s">
        <v>7</v>
      </c>
      <c r="I488" s="1">
        <v>1</v>
      </c>
    </row>
    <row r="489" spans="1:9" x14ac:dyDescent="0.35">
      <c r="A489" s="1">
        <f>ROW()-ROW(BARANGMASUK!$A$3)</f>
        <v>486</v>
      </c>
      <c r="B489" s="1" t="s">
        <v>1376</v>
      </c>
      <c r="C489" s="24">
        <v>46005</v>
      </c>
      <c r="D489" s="1" t="s">
        <v>294</v>
      </c>
      <c r="E489" s="15" t="s">
        <v>295</v>
      </c>
      <c r="F489" s="1" t="s">
        <v>41</v>
      </c>
      <c r="G489" s="32">
        <v>64000</v>
      </c>
      <c r="H489" s="1" t="s">
        <v>7</v>
      </c>
      <c r="I489" s="1">
        <v>2</v>
      </c>
    </row>
    <row r="490" spans="1:9" x14ac:dyDescent="0.35">
      <c r="A490" s="1">
        <f>ROW()-ROW(BARANGMASUK!$A$3)</f>
        <v>487</v>
      </c>
      <c r="B490" s="1" t="s">
        <v>1377</v>
      </c>
      <c r="C490" s="24">
        <v>46005</v>
      </c>
      <c r="D490" s="1" t="s">
        <v>948</v>
      </c>
      <c r="E490" s="15" t="s">
        <v>949</v>
      </c>
      <c r="F490" s="1" t="s">
        <v>106</v>
      </c>
      <c r="G490" s="32">
        <v>58000</v>
      </c>
      <c r="H490" s="1" t="s">
        <v>7</v>
      </c>
      <c r="I490" s="1">
        <v>2</v>
      </c>
    </row>
    <row r="491" spans="1:9" x14ac:dyDescent="0.35">
      <c r="A491" s="1">
        <f>ROW()-ROW(BARANGMASUK!$A$3)</f>
        <v>488</v>
      </c>
      <c r="B491" s="1" t="s">
        <v>1378</v>
      </c>
      <c r="C491" s="24">
        <v>46005</v>
      </c>
      <c r="D491" s="1" t="s">
        <v>440</v>
      </c>
      <c r="E491" s="15" t="s">
        <v>441</v>
      </c>
      <c r="F491" s="1" t="s">
        <v>41</v>
      </c>
      <c r="G491" s="32">
        <v>32500</v>
      </c>
      <c r="H491" s="1" t="s">
        <v>7</v>
      </c>
      <c r="I491" s="1">
        <v>5</v>
      </c>
    </row>
    <row r="492" spans="1:9" x14ac:dyDescent="0.35">
      <c r="A492" s="1">
        <f>ROW()-ROW(BARANGMASUK!$A$3)</f>
        <v>489</v>
      </c>
      <c r="B492" s="1" t="s">
        <v>1379</v>
      </c>
      <c r="C492" s="24">
        <v>46005</v>
      </c>
      <c r="D492" s="1" t="s">
        <v>743</v>
      </c>
      <c r="E492" s="15" t="s">
        <v>744</v>
      </c>
      <c r="F492" s="1" t="s">
        <v>304</v>
      </c>
      <c r="G492" s="32">
        <v>21000</v>
      </c>
      <c r="H492" s="1" t="s">
        <v>7</v>
      </c>
      <c r="I492" s="1">
        <v>2</v>
      </c>
    </row>
    <row r="493" spans="1:9" x14ac:dyDescent="0.35">
      <c r="A493" s="1">
        <f>ROW()-ROW(BARANGMASUK!$A$3)</f>
        <v>490</v>
      </c>
      <c r="B493" s="1" t="s">
        <v>1380</v>
      </c>
      <c r="C493" s="24">
        <v>46005</v>
      </c>
      <c r="D493" s="1" t="s">
        <v>110</v>
      </c>
      <c r="E493" s="15" t="s">
        <v>111</v>
      </c>
      <c r="F493" s="1" t="s">
        <v>106</v>
      </c>
      <c r="G493" s="32">
        <v>52000</v>
      </c>
      <c r="H493" s="1" t="s">
        <v>7</v>
      </c>
      <c r="I493" s="1">
        <v>2</v>
      </c>
    </row>
    <row r="494" spans="1:9" x14ac:dyDescent="0.35">
      <c r="A494" s="1">
        <f>ROW()-ROW(BARANGMASUK!$A$3)</f>
        <v>491</v>
      </c>
      <c r="B494" s="1" t="s">
        <v>1381</v>
      </c>
      <c r="C494" s="24">
        <v>46005</v>
      </c>
      <c r="D494" s="1" t="s">
        <v>442</v>
      </c>
      <c r="E494" s="15" t="s">
        <v>443</v>
      </c>
      <c r="F494" s="1" t="s">
        <v>41</v>
      </c>
      <c r="G494" s="32">
        <v>31000</v>
      </c>
      <c r="H494" s="1" t="s">
        <v>7</v>
      </c>
      <c r="I494" s="1">
        <v>2</v>
      </c>
    </row>
    <row r="495" spans="1:9" x14ac:dyDescent="0.35">
      <c r="A495" s="1">
        <f>ROW()-ROW(BARANGMASUK!$A$3)</f>
        <v>492</v>
      </c>
      <c r="B495" s="1" t="s">
        <v>1382</v>
      </c>
      <c r="C495" s="24">
        <v>46005</v>
      </c>
      <c r="D495" s="1" t="s">
        <v>103</v>
      </c>
      <c r="E495" s="15" t="s">
        <v>104</v>
      </c>
      <c r="F495" s="1" t="s">
        <v>106</v>
      </c>
      <c r="G495" s="32">
        <v>52000</v>
      </c>
      <c r="H495" s="1" t="s">
        <v>7</v>
      </c>
      <c r="I495" s="1">
        <v>1</v>
      </c>
    </row>
    <row r="496" spans="1:9" x14ac:dyDescent="0.35">
      <c r="A496" s="1">
        <f>ROW()-ROW(BARANGMASUK!$A$3)</f>
        <v>493</v>
      </c>
      <c r="B496" s="1" t="s">
        <v>1383</v>
      </c>
      <c r="C496" s="24">
        <v>46005</v>
      </c>
      <c r="D496" s="1" t="s">
        <v>454</v>
      </c>
      <c r="E496" s="15" t="s">
        <v>455</v>
      </c>
      <c r="F496" s="1" t="s">
        <v>106</v>
      </c>
      <c r="G496" s="32">
        <v>77500</v>
      </c>
      <c r="H496" s="1" t="s">
        <v>7</v>
      </c>
      <c r="I496" s="1">
        <v>5</v>
      </c>
    </row>
    <row r="497" spans="1:9" x14ac:dyDescent="0.35">
      <c r="A497" s="1">
        <f>ROW()-ROW(BARANGMASUK!$A$3)</f>
        <v>494</v>
      </c>
      <c r="B497" s="1" t="s">
        <v>1384</v>
      </c>
      <c r="C497" s="24">
        <v>46005</v>
      </c>
      <c r="D497" s="1" t="s">
        <v>1338</v>
      </c>
      <c r="E497" s="15" t="s">
        <v>1339</v>
      </c>
      <c r="F497" s="1" t="s">
        <v>562</v>
      </c>
      <c r="G497" s="32">
        <v>36000</v>
      </c>
      <c r="H497" s="1" t="s">
        <v>7</v>
      </c>
      <c r="I497" s="1">
        <v>8</v>
      </c>
    </row>
    <row r="498" spans="1:9" x14ac:dyDescent="0.35">
      <c r="A498" s="1">
        <f>ROW()-ROW(BARANGMASUK!$A$3)</f>
        <v>495</v>
      </c>
      <c r="B498" s="1" t="s">
        <v>1385</v>
      </c>
      <c r="C498" s="24">
        <v>46005</v>
      </c>
      <c r="D498" s="1" t="s">
        <v>1357</v>
      </c>
      <c r="E498" s="15" t="s">
        <v>1358</v>
      </c>
      <c r="F498" s="1" t="s">
        <v>562</v>
      </c>
      <c r="G498" s="32">
        <v>7000</v>
      </c>
      <c r="H498" s="1" t="s">
        <v>7</v>
      </c>
      <c r="I498" s="1">
        <v>1</v>
      </c>
    </row>
    <row r="499" spans="1:9" x14ac:dyDescent="0.35">
      <c r="A499" s="1">
        <f>ROW()-ROW(BARANGMASUK!$A$3)</f>
        <v>496</v>
      </c>
      <c r="B499" s="1" t="s">
        <v>1386</v>
      </c>
      <c r="C499" s="24">
        <v>46005</v>
      </c>
      <c r="D499" s="1" t="s">
        <v>1334</v>
      </c>
      <c r="E499" s="15" t="s">
        <v>1335</v>
      </c>
      <c r="F499" s="1" t="s">
        <v>562</v>
      </c>
      <c r="G499" s="32">
        <v>23000</v>
      </c>
      <c r="H499" s="1" t="s">
        <v>7</v>
      </c>
      <c r="I499" s="1">
        <v>2</v>
      </c>
    </row>
    <row r="500" spans="1:9" x14ac:dyDescent="0.35">
      <c r="A500" s="1">
        <f>ROW()-ROW(BARANGMASUK!$A$3)</f>
        <v>497</v>
      </c>
      <c r="B500" s="1" t="s">
        <v>1387</v>
      </c>
      <c r="C500" s="24">
        <v>46005</v>
      </c>
      <c r="D500" s="1" t="s">
        <v>1338</v>
      </c>
      <c r="E500" s="15" t="s">
        <v>1339</v>
      </c>
      <c r="F500" s="1" t="s">
        <v>562</v>
      </c>
      <c r="G500" s="32">
        <v>6500</v>
      </c>
      <c r="H500" s="1" t="s">
        <v>7</v>
      </c>
      <c r="I500" s="1">
        <v>1</v>
      </c>
    </row>
    <row r="501" spans="1:9" x14ac:dyDescent="0.35">
      <c r="A501" s="1">
        <f>ROW()-ROW(BARANGMASUK!$A$3)</f>
        <v>498</v>
      </c>
      <c r="B501" s="1" t="s">
        <v>1388</v>
      </c>
      <c r="C501" s="24">
        <v>46005</v>
      </c>
      <c r="D501" s="1" t="s">
        <v>1336</v>
      </c>
      <c r="E501" s="15" t="s">
        <v>1337</v>
      </c>
      <c r="F501" s="1" t="s">
        <v>562</v>
      </c>
      <c r="G501" s="32">
        <v>6500</v>
      </c>
      <c r="H501" s="1" t="s">
        <v>7</v>
      </c>
      <c r="I501" s="1">
        <v>1</v>
      </c>
    </row>
    <row r="502" spans="1:9" x14ac:dyDescent="0.35">
      <c r="A502" s="1">
        <f>ROW()-ROW(BARANGMASUK!$A$3)</f>
        <v>499</v>
      </c>
      <c r="B502" s="1" t="s">
        <v>1389</v>
      </c>
      <c r="C502" s="24">
        <v>46005</v>
      </c>
      <c r="D502" s="1" t="s">
        <v>394</v>
      </c>
      <c r="E502" s="15" t="s">
        <v>395</v>
      </c>
      <c r="F502" s="1" t="s">
        <v>106</v>
      </c>
      <c r="G502" s="32">
        <v>73500</v>
      </c>
      <c r="H502" s="1" t="s">
        <v>7</v>
      </c>
      <c r="I502" s="1">
        <v>7</v>
      </c>
    </row>
    <row r="503" spans="1:9" x14ac:dyDescent="0.35">
      <c r="A503" s="1">
        <f>ROW()-ROW(BARANGMASUK!$A$3)</f>
        <v>500</v>
      </c>
      <c r="B503" s="1" t="s">
        <v>1390</v>
      </c>
      <c r="C503" s="24">
        <v>46005</v>
      </c>
      <c r="D503" s="1" t="s">
        <v>1340</v>
      </c>
      <c r="E503" s="15" t="s">
        <v>1341</v>
      </c>
      <c r="F503" s="1" t="s">
        <v>562</v>
      </c>
      <c r="G503" s="32">
        <v>40000</v>
      </c>
      <c r="H503" s="1" t="s">
        <v>7</v>
      </c>
      <c r="I503" s="1">
        <v>10</v>
      </c>
    </row>
    <row r="504" spans="1:9" x14ac:dyDescent="0.35">
      <c r="A504" s="1">
        <f>ROW()-ROW(BARANGMASUK!$A$3)</f>
        <v>501</v>
      </c>
      <c r="B504" s="1" t="s">
        <v>1391</v>
      </c>
      <c r="C504" s="24">
        <v>46005</v>
      </c>
      <c r="D504" s="1" t="s">
        <v>643</v>
      </c>
      <c r="E504" s="15" t="s">
        <v>644</v>
      </c>
      <c r="F504" s="1" t="s">
        <v>562</v>
      </c>
      <c r="G504" s="32">
        <v>19500</v>
      </c>
      <c r="H504" s="1" t="s">
        <v>7</v>
      </c>
      <c r="I504" s="1">
        <v>1</v>
      </c>
    </row>
    <row r="505" spans="1:9" x14ac:dyDescent="0.35">
      <c r="A505" s="1">
        <f>ROW()-ROW(BARANGMASUK!$A$3)</f>
        <v>502</v>
      </c>
      <c r="B505" s="1" t="s">
        <v>1392</v>
      </c>
      <c r="C505" s="24">
        <v>46005</v>
      </c>
      <c r="D505" s="1" t="s">
        <v>1112</v>
      </c>
      <c r="E505" s="15" t="s">
        <v>1113</v>
      </c>
      <c r="F505" s="1" t="s">
        <v>30</v>
      </c>
      <c r="G505" s="32">
        <v>75000</v>
      </c>
      <c r="H505" s="1" t="s">
        <v>7</v>
      </c>
      <c r="I505" s="1">
        <v>6</v>
      </c>
    </row>
    <row r="506" spans="1:9" x14ac:dyDescent="0.35">
      <c r="A506" s="1">
        <f>ROW()-ROW(BARANGMASUK!$A$3)</f>
        <v>503</v>
      </c>
      <c r="B506" s="1" t="s">
        <v>1393</v>
      </c>
      <c r="C506" s="24">
        <v>46005</v>
      </c>
      <c r="D506" s="1" t="s">
        <v>1342</v>
      </c>
      <c r="E506" s="15" t="s">
        <v>1343</v>
      </c>
      <c r="F506" s="1" t="s">
        <v>106</v>
      </c>
      <c r="G506" s="32">
        <v>22000</v>
      </c>
      <c r="H506" s="1" t="s">
        <v>7</v>
      </c>
      <c r="I506" s="1">
        <v>1</v>
      </c>
    </row>
    <row r="507" spans="1:9" x14ac:dyDescent="0.35">
      <c r="A507" s="1">
        <f>ROW()-ROW(BARANGMASUK!$A$3)</f>
        <v>504</v>
      </c>
      <c r="B507" s="1" t="s">
        <v>1394</v>
      </c>
      <c r="C507" s="24">
        <v>46005</v>
      </c>
      <c r="D507" s="1" t="s">
        <v>1344</v>
      </c>
      <c r="E507" s="15" t="s">
        <v>1345</v>
      </c>
      <c r="F507" s="1" t="s">
        <v>304</v>
      </c>
      <c r="G507" s="32">
        <v>19000</v>
      </c>
      <c r="H507" s="1" t="s">
        <v>7</v>
      </c>
      <c r="I507" s="1">
        <v>1</v>
      </c>
    </row>
    <row r="508" spans="1:9" x14ac:dyDescent="0.35">
      <c r="A508" s="1">
        <f>ROW()-ROW(BARANGMASUK!$A$3)</f>
        <v>505</v>
      </c>
      <c r="B508" s="1" t="s">
        <v>1395</v>
      </c>
      <c r="C508" s="24">
        <v>46005</v>
      </c>
      <c r="D508" s="1" t="s">
        <v>1346</v>
      </c>
      <c r="E508" s="15" t="s">
        <v>1347</v>
      </c>
      <c r="F508" s="1" t="s">
        <v>304</v>
      </c>
      <c r="G508" s="32">
        <v>22500</v>
      </c>
      <c r="H508" s="1" t="s">
        <v>7</v>
      </c>
      <c r="I508" s="1">
        <v>1</v>
      </c>
    </row>
    <row r="509" spans="1:9" x14ac:dyDescent="0.35">
      <c r="A509" s="1">
        <f>ROW()-ROW(BARANGMASUK!$A$3)</f>
        <v>506</v>
      </c>
      <c r="B509" s="1" t="s">
        <v>1396</v>
      </c>
      <c r="C509" s="24">
        <v>46005</v>
      </c>
      <c r="D509" s="1" t="s">
        <v>95</v>
      </c>
      <c r="E509" s="15" t="s">
        <v>96</v>
      </c>
      <c r="F509" s="1" t="s">
        <v>30</v>
      </c>
      <c r="G509" s="32">
        <v>74000</v>
      </c>
      <c r="H509" s="1" t="s">
        <v>7</v>
      </c>
      <c r="I509" s="1">
        <v>1</v>
      </c>
    </row>
    <row r="510" spans="1:9" x14ac:dyDescent="0.35">
      <c r="A510" s="1">
        <f>ROW()-ROW(BARANGMASUK!$A$3)</f>
        <v>507</v>
      </c>
      <c r="B510" s="1" t="s">
        <v>1397</v>
      </c>
      <c r="C510" s="24">
        <v>46005</v>
      </c>
      <c r="D510" s="1" t="s">
        <v>1348</v>
      </c>
      <c r="E510" s="15" t="s">
        <v>1349</v>
      </c>
      <c r="F510" s="1" t="s">
        <v>304</v>
      </c>
      <c r="G510" s="32">
        <v>45000</v>
      </c>
      <c r="H510" s="1" t="s">
        <v>7</v>
      </c>
      <c r="I510" s="1">
        <v>2</v>
      </c>
    </row>
    <row r="511" spans="1:9" x14ac:dyDescent="0.35">
      <c r="A511" s="1">
        <f>ROW()-ROW(BARANGMASUK!$A$3)</f>
        <v>508</v>
      </c>
      <c r="B511" s="1" t="s">
        <v>1398</v>
      </c>
      <c r="C511" s="24">
        <v>46005</v>
      </c>
      <c r="D511" s="1" t="s">
        <v>92</v>
      </c>
      <c r="E511" s="15" t="s">
        <v>93</v>
      </c>
      <c r="F511" s="1" t="s">
        <v>106</v>
      </c>
      <c r="G511" s="32">
        <v>136000</v>
      </c>
      <c r="H511" s="1" t="s">
        <v>7</v>
      </c>
      <c r="I511" s="1">
        <v>1</v>
      </c>
    </row>
    <row r="512" spans="1:9" x14ac:dyDescent="0.35">
      <c r="A512" s="1">
        <f>ROW()-ROW(BARANGMASUK!$A$3)</f>
        <v>509</v>
      </c>
      <c r="B512" s="1" t="s">
        <v>1399</v>
      </c>
      <c r="C512" s="24">
        <v>46005</v>
      </c>
      <c r="D512" s="1" t="s">
        <v>1350</v>
      </c>
      <c r="E512" s="15" t="s">
        <v>1351</v>
      </c>
      <c r="F512" s="1" t="s">
        <v>30</v>
      </c>
      <c r="G512" s="32">
        <v>48500</v>
      </c>
      <c r="H512" s="1" t="s">
        <v>7</v>
      </c>
      <c r="I512" s="1">
        <v>1</v>
      </c>
    </row>
    <row r="513" spans="1:9" x14ac:dyDescent="0.35">
      <c r="A513" s="1">
        <f>ROW()-ROW(BARANGMASUK!$A$3)</f>
        <v>510</v>
      </c>
      <c r="B513" s="1" t="s">
        <v>1400</v>
      </c>
      <c r="C513" s="24">
        <v>46005</v>
      </c>
      <c r="D513" s="1" t="s">
        <v>1353</v>
      </c>
      <c r="E513" s="15" t="s">
        <v>1354</v>
      </c>
      <c r="F513" s="1" t="s">
        <v>30</v>
      </c>
      <c r="G513" s="32">
        <v>3000</v>
      </c>
      <c r="H513" s="1" t="s">
        <v>7</v>
      </c>
      <c r="I513" s="1">
        <v>1</v>
      </c>
    </row>
    <row r="514" spans="1:9" x14ac:dyDescent="0.35">
      <c r="A514" s="1">
        <f>ROW()-ROW(BARANGMASUK!$A$3)</f>
        <v>511</v>
      </c>
      <c r="B514" s="1" t="s">
        <v>1444</v>
      </c>
      <c r="C514" s="24">
        <v>46005</v>
      </c>
      <c r="D514" s="1" t="s">
        <v>588</v>
      </c>
      <c r="E514" s="15" t="s">
        <v>589</v>
      </c>
      <c r="F514" s="1" t="s">
        <v>562</v>
      </c>
      <c r="G514" s="32">
        <v>100000</v>
      </c>
      <c r="H514" s="1" t="s">
        <v>7</v>
      </c>
      <c r="I514" s="1">
        <v>10</v>
      </c>
    </row>
    <row r="515" spans="1:9" x14ac:dyDescent="0.35">
      <c r="A515" s="1">
        <f>ROW()-ROW(BARANGMASUK!$A$3)</f>
        <v>512</v>
      </c>
      <c r="B515" s="1" t="s">
        <v>1445</v>
      </c>
      <c r="C515" s="24">
        <v>46005</v>
      </c>
      <c r="D515" s="1" t="s">
        <v>568</v>
      </c>
      <c r="E515" s="15" t="s">
        <v>569</v>
      </c>
      <c r="F515" s="1" t="s">
        <v>30</v>
      </c>
      <c r="G515" s="32">
        <v>220000</v>
      </c>
      <c r="H515" s="1" t="s">
        <v>7</v>
      </c>
      <c r="I515" s="1">
        <v>1</v>
      </c>
    </row>
    <row r="516" spans="1:9" x14ac:dyDescent="0.35">
      <c r="A516" s="1">
        <f>ROW()-ROW(BARANGMASUK!$A$3)</f>
        <v>513</v>
      </c>
      <c r="B516" s="1" t="s">
        <v>1446</v>
      </c>
      <c r="C516" s="24">
        <v>46005</v>
      </c>
      <c r="D516" s="1" t="s">
        <v>1401</v>
      </c>
      <c r="E516" s="15" t="s">
        <v>1402</v>
      </c>
      <c r="F516" s="1" t="s">
        <v>30</v>
      </c>
      <c r="G516" s="32">
        <v>550000</v>
      </c>
      <c r="H516" s="1" t="s">
        <v>7</v>
      </c>
      <c r="I516" s="1">
        <v>1</v>
      </c>
    </row>
    <row r="517" spans="1:9" x14ac:dyDescent="0.35">
      <c r="A517" s="1">
        <f>ROW()-ROW(BARANGMASUK!$A$3)</f>
        <v>514</v>
      </c>
      <c r="B517" s="1" t="s">
        <v>1447</v>
      </c>
      <c r="C517" s="24">
        <v>46005</v>
      </c>
      <c r="D517" s="1" t="s">
        <v>1403</v>
      </c>
      <c r="E517" s="15" t="s">
        <v>1404</v>
      </c>
      <c r="F517" s="1" t="s">
        <v>30</v>
      </c>
      <c r="G517" s="32">
        <v>100000</v>
      </c>
      <c r="H517" s="1" t="s">
        <v>7</v>
      </c>
      <c r="I517" s="1">
        <v>1</v>
      </c>
    </row>
    <row r="518" spans="1:9" x14ac:dyDescent="0.35">
      <c r="A518" s="1">
        <f>ROW()-ROW(BARANGMASUK!$A$3)</f>
        <v>515</v>
      </c>
      <c r="B518" s="1" t="s">
        <v>1448</v>
      </c>
      <c r="C518" s="24">
        <v>46005</v>
      </c>
      <c r="D518" s="1" t="s">
        <v>1407</v>
      </c>
      <c r="E518" s="15" t="s">
        <v>1408</v>
      </c>
      <c r="F518" s="1" t="s">
        <v>1409</v>
      </c>
      <c r="G518" s="32">
        <v>540000</v>
      </c>
      <c r="H518" s="1" t="s">
        <v>7</v>
      </c>
      <c r="I518" s="1">
        <v>2</v>
      </c>
    </row>
    <row r="519" spans="1:9" x14ac:dyDescent="0.35">
      <c r="A519" s="1">
        <f>ROW()-ROW(BARANGMASUK!$A$3)</f>
        <v>516</v>
      </c>
      <c r="B519" s="1" t="s">
        <v>1449</v>
      </c>
      <c r="C519" s="24">
        <v>46005</v>
      </c>
      <c r="D519" s="1" t="s">
        <v>1405</v>
      </c>
      <c r="E519" s="15" t="s">
        <v>1406</v>
      </c>
      <c r="F519" s="1" t="s">
        <v>30</v>
      </c>
      <c r="G519" s="32">
        <v>310000</v>
      </c>
      <c r="H519" s="1" t="s">
        <v>7</v>
      </c>
      <c r="I519" s="1">
        <v>1</v>
      </c>
    </row>
    <row r="520" spans="1:9" x14ac:dyDescent="0.35">
      <c r="A520" s="1">
        <f>ROW()-ROW(BARANGMASUK!$A$3)</f>
        <v>517</v>
      </c>
      <c r="B520" s="1" t="s">
        <v>1450</v>
      </c>
      <c r="C520" s="24">
        <v>46005</v>
      </c>
      <c r="D520" s="1" t="s">
        <v>1092</v>
      </c>
      <c r="E520" s="15" t="s">
        <v>1093</v>
      </c>
      <c r="F520" s="1" t="s">
        <v>30</v>
      </c>
      <c r="G520" s="32">
        <v>520000</v>
      </c>
      <c r="H520" s="1" t="s">
        <v>7</v>
      </c>
      <c r="I520" s="1">
        <v>4</v>
      </c>
    </row>
    <row r="521" spans="1:9" x14ac:dyDescent="0.35">
      <c r="A521" s="1">
        <f>ROW()-ROW(BARANGMASUK!$A$3)</f>
        <v>518</v>
      </c>
      <c r="B521" s="1" t="s">
        <v>1451</v>
      </c>
      <c r="C521" s="24">
        <v>46005</v>
      </c>
      <c r="D521" s="1" t="s">
        <v>1427</v>
      </c>
      <c r="E521" s="15" t="s">
        <v>1428</v>
      </c>
      <c r="F521" s="1" t="s">
        <v>30</v>
      </c>
      <c r="G521" s="32">
        <v>180000</v>
      </c>
      <c r="H521" s="1" t="s">
        <v>7</v>
      </c>
      <c r="I521" s="1">
        <v>1</v>
      </c>
    </row>
    <row r="522" spans="1:9" x14ac:dyDescent="0.35">
      <c r="A522" s="1">
        <f>ROW()-ROW(BARANGMASUK!$A$3)</f>
        <v>519</v>
      </c>
      <c r="B522" s="1" t="s">
        <v>1452</v>
      </c>
      <c r="C522" s="24">
        <v>46005</v>
      </c>
      <c r="D522" s="1" t="s">
        <v>1410</v>
      </c>
      <c r="E522" s="15" t="s">
        <v>1411</v>
      </c>
      <c r="F522" s="1" t="s">
        <v>30</v>
      </c>
      <c r="G522" s="32">
        <v>220000</v>
      </c>
      <c r="H522" s="1" t="s">
        <v>7</v>
      </c>
      <c r="I522" s="1">
        <v>1</v>
      </c>
    </row>
    <row r="523" spans="1:9" x14ac:dyDescent="0.35">
      <c r="A523" s="1">
        <f>ROW()-ROW(BARANGMASUK!$A$3)</f>
        <v>520</v>
      </c>
      <c r="B523" s="1" t="s">
        <v>1453</v>
      </c>
      <c r="C523" s="24">
        <v>46005</v>
      </c>
      <c r="D523" s="1" t="s">
        <v>1413</v>
      </c>
      <c r="E523" s="15" t="s">
        <v>1414</v>
      </c>
      <c r="F523" s="1" t="s">
        <v>30</v>
      </c>
      <c r="G523" s="32">
        <v>200000</v>
      </c>
      <c r="H523" s="1" t="s">
        <v>7</v>
      </c>
      <c r="I523" s="1">
        <v>2</v>
      </c>
    </row>
    <row r="524" spans="1:9" x14ac:dyDescent="0.35">
      <c r="A524" s="1">
        <f>ROW()-ROW(BARANGMASUK!$A$3)</f>
        <v>521</v>
      </c>
      <c r="B524" s="1" t="s">
        <v>1454</v>
      </c>
      <c r="C524" s="24">
        <v>46005</v>
      </c>
      <c r="D524" s="1" t="s">
        <v>1415</v>
      </c>
      <c r="E524" s="15" t="s">
        <v>1416</v>
      </c>
      <c r="F524" s="1" t="s">
        <v>30</v>
      </c>
      <c r="G524" s="32">
        <v>160000</v>
      </c>
      <c r="H524" s="1" t="s">
        <v>7</v>
      </c>
      <c r="I524" s="1">
        <v>1</v>
      </c>
    </row>
    <row r="525" spans="1:9" x14ac:dyDescent="0.35">
      <c r="A525" s="1">
        <f>ROW()-ROW(BARANGMASUK!$A$3)</f>
        <v>522</v>
      </c>
      <c r="B525" s="1" t="s">
        <v>1455</v>
      </c>
      <c r="C525" s="24">
        <v>46005</v>
      </c>
      <c r="D525" s="1" t="s">
        <v>1417</v>
      </c>
      <c r="E525" s="15" t="s">
        <v>1418</v>
      </c>
      <c r="F525" s="1" t="s">
        <v>30</v>
      </c>
      <c r="G525" s="32">
        <v>120000</v>
      </c>
      <c r="H525" s="1" t="s">
        <v>7</v>
      </c>
      <c r="I525" s="1">
        <v>1</v>
      </c>
    </row>
    <row r="526" spans="1:9" x14ac:dyDescent="0.35">
      <c r="A526" s="1">
        <f>ROW()-ROW(BARANGMASUK!$A$3)</f>
        <v>523</v>
      </c>
      <c r="B526" s="1" t="s">
        <v>1456</v>
      </c>
      <c r="C526" s="24">
        <v>46005</v>
      </c>
      <c r="D526" s="1" t="s">
        <v>1417</v>
      </c>
      <c r="E526" s="15" t="s">
        <v>1418</v>
      </c>
      <c r="F526" s="1" t="s">
        <v>30</v>
      </c>
      <c r="G526" s="32">
        <v>120000</v>
      </c>
      <c r="H526" s="1" t="s">
        <v>7</v>
      </c>
      <c r="I526" s="1">
        <v>1</v>
      </c>
    </row>
    <row r="527" spans="1:9" x14ac:dyDescent="0.35">
      <c r="A527" s="1">
        <f>ROW()-ROW(BARANGMASUK!$A$3)</f>
        <v>524</v>
      </c>
      <c r="B527" s="1" t="s">
        <v>1457</v>
      </c>
      <c r="C527" s="24">
        <v>46005</v>
      </c>
      <c r="D527" s="1" t="s">
        <v>1419</v>
      </c>
      <c r="E527" s="15" t="s">
        <v>1420</v>
      </c>
      <c r="F527" s="1" t="s">
        <v>1409</v>
      </c>
      <c r="G527" s="32">
        <v>175000</v>
      </c>
      <c r="H527" s="1" t="s">
        <v>7</v>
      </c>
      <c r="I527" s="1">
        <v>1</v>
      </c>
    </row>
    <row r="528" spans="1:9" x14ac:dyDescent="0.35">
      <c r="A528" s="1">
        <f>ROW()-ROW(BARANGMASUK!$A$3)</f>
        <v>525</v>
      </c>
      <c r="B528" s="1" t="s">
        <v>1458</v>
      </c>
      <c r="C528" s="24">
        <v>46005</v>
      </c>
      <c r="D528" s="1" t="s">
        <v>1421</v>
      </c>
      <c r="E528" s="15" t="s">
        <v>1422</v>
      </c>
      <c r="F528" s="1" t="s">
        <v>30</v>
      </c>
      <c r="G528" s="32">
        <v>60000</v>
      </c>
      <c r="H528" s="1" t="s">
        <v>7</v>
      </c>
      <c r="I528" s="1">
        <v>1</v>
      </c>
    </row>
    <row r="529" spans="1:9" x14ac:dyDescent="0.35">
      <c r="A529" s="1">
        <f>ROW()-ROW(BARANGMASUK!$A$3)</f>
        <v>526</v>
      </c>
      <c r="B529" s="1" t="s">
        <v>1459</v>
      </c>
      <c r="C529" s="24">
        <v>46005</v>
      </c>
      <c r="D529" s="1" t="s">
        <v>1423</v>
      </c>
      <c r="E529" s="15" t="s">
        <v>1424</v>
      </c>
      <c r="F529" s="1" t="s">
        <v>30</v>
      </c>
      <c r="G529" s="32">
        <v>180000</v>
      </c>
      <c r="H529" s="1" t="s">
        <v>7</v>
      </c>
      <c r="I529" s="1">
        <v>1</v>
      </c>
    </row>
    <row r="530" spans="1:9" x14ac:dyDescent="0.35">
      <c r="A530" s="1">
        <f>ROW()-ROW(BARANGMASUK!$A$3)</f>
        <v>527</v>
      </c>
      <c r="B530" s="1" t="s">
        <v>1460</v>
      </c>
      <c r="C530" s="24">
        <v>46005</v>
      </c>
      <c r="D530" s="1" t="s">
        <v>1425</v>
      </c>
      <c r="E530" s="15" t="s">
        <v>1426</v>
      </c>
      <c r="F530" s="1" t="s">
        <v>30</v>
      </c>
      <c r="G530" s="32">
        <v>180000</v>
      </c>
      <c r="H530" s="1" t="s">
        <v>7</v>
      </c>
      <c r="I530" s="1">
        <v>1</v>
      </c>
    </row>
    <row r="531" spans="1:9" x14ac:dyDescent="0.35">
      <c r="A531" s="1">
        <f>ROW()-ROW(BARANGMASUK!$A$3)</f>
        <v>528</v>
      </c>
      <c r="B531" s="1" t="s">
        <v>1461</v>
      </c>
      <c r="C531" s="24">
        <v>46005</v>
      </c>
      <c r="D531" s="1" t="s">
        <v>579</v>
      </c>
      <c r="E531" s="15" t="s">
        <v>580</v>
      </c>
      <c r="F531" s="1" t="s">
        <v>30</v>
      </c>
      <c r="G531" s="32">
        <v>180000</v>
      </c>
      <c r="H531" s="1" t="s">
        <v>7</v>
      </c>
      <c r="I531" s="1">
        <v>1</v>
      </c>
    </row>
    <row r="532" spans="1:9" x14ac:dyDescent="0.35">
      <c r="A532" s="1">
        <f>ROW()-ROW(BARANGMASUK!$A$3)</f>
        <v>529</v>
      </c>
      <c r="B532" s="1" t="s">
        <v>1462</v>
      </c>
      <c r="C532" s="24">
        <v>46005</v>
      </c>
      <c r="D532" s="1" t="s">
        <v>1429</v>
      </c>
      <c r="E532" s="15" t="s">
        <v>1430</v>
      </c>
      <c r="F532" s="1" t="s">
        <v>30</v>
      </c>
      <c r="G532" s="32">
        <v>100000</v>
      </c>
      <c r="H532" s="1" t="s">
        <v>7</v>
      </c>
      <c r="I532" s="1">
        <v>1</v>
      </c>
    </row>
    <row r="533" spans="1:9" x14ac:dyDescent="0.35">
      <c r="A533" s="1">
        <f>ROW()-ROW(BARANGMASUK!$A$3)</f>
        <v>530</v>
      </c>
      <c r="B533" s="1" t="s">
        <v>1463</v>
      </c>
      <c r="C533" s="24">
        <v>46005</v>
      </c>
      <c r="D533" s="1" t="s">
        <v>1415</v>
      </c>
      <c r="E533" s="15" t="s">
        <v>1416</v>
      </c>
      <c r="F533" s="1" t="s">
        <v>30</v>
      </c>
      <c r="G533" s="32">
        <v>160000</v>
      </c>
      <c r="H533" s="1" t="s">
        <v>7</v>
      </c>
      <c r="I533" s="1">
        <v>1</v>
      </c>
    </row>
    <row r="534" spans="1:9" x14ac:dyDescent="0.35">
      <c r="A534" s="1">
        <f>ROW()-ROW(BARANGMASUK!$A$3)</f>
        <v>531</v>
      </c>
      <c r="B534" s="1" t="s">
        <v>1464</v>
      </c>
      <c r="C534" s="24">
        <v>46005</v>
      </c>
      <c r="D534" s="1" t="s">
        <v>1431</v>
      </c>
      <c r="E534" s="15" t="s">
        <v>1432</v>
      </c>
      <c r="F534" s="1" t="s">
        <v>30</v>
      </c>
      <c r="G534" s="32">
        <v>360000</v>
      </c>
      <c r="H534" s="1" t="s">
        <v>7</v>
      </c>
      <c r="I534" s="1">
        <v>1</v>
      </c>
    </row>
    <row r="535" spans="1:9" x14ac:dyDescent="0.35">
      <c r="A535" s="1">
        <f>ROW()-ROW(BARANGMASUK!$A$3)</f>
        <v>532</v>
      </c>
      <c r="B535" s="1" t="s">
        <v>1465</v>
      </c>
      <c r="C535" s="24">
        <v>46005</v>
      </c>
      <c r="D535" s="1" t="s">
        <v>1433</v>
      </c>
      <c r="E535" s="15" t="s">
        <v>1434</v>
      </c>
      <c r="F535" s="1" t="s">
        <v>30</v>
      </c>
      <c r="G535" s="32">
        <v>220000</v>
      </c>
      <c r="H535" s="1" t="s">
        <v>7</v>
      </c>
      <c r="I535" s="1">
        <v>1</v>
      </c>
    </row>
    <row r="536" spans="1:9" x14ac:dyDescent="0.35">
      <c r="A536" s="1">
        <f>ROW()-ROW(BARANGMASUK!$A$3)</f>
        <v>533</v>
      </c>
      <c r="B536" s="1" t="s">
        <v>1466</v>
      </c>
      <c r="C536" s="24">
        <v>46005</v>
      </c>
      <c r="D536" s="1" t="s">
        <v>1435</v>
      </c>
      <c r="E536" s="15" t="s">
        <v>1436</v>
      </c>
      <c r="F536" s="1" t="s">
        <v>30</v>
      </c>
      <c r="G536" s="32">
        <v>720000</v>
      </c>
      <c r="H536" s="1" t="s">
        <v>7</v>
      </c>
      <c r="I536" s="1">
        <v>2</v>
      </c>
    </row>
    <row r="537" spans="1:9" x14ac:dyDescent="0.35">
      <c r="A537" s="1">
        <f>ROW()-ROW(BARANGMASUK!$A$3)</f>
        <v>534</v>
      </c>
      <c r="B537" s="1" t="s">
        <v>1467</v>
      </c>
      <c r="C537" s="24">
        <v>46005</v>
      </c>
      <c r="D537" s="1" t="s">
        <v>1437</v>
      </c>
      <c r="E537" s="15" t="s">
        <v>1438</v>
      </c>
      <c r="F537" s="1" t="s">
        <v>1409</v>
      </c>
      <c r="G537" s="32">
        <v>100000</v>
      </c>
      <c r="H537" s="1" t="s">
        <v>7</v>
      </c>
      <c r="I537" s="1">
        <v>1</v>
      </c>
    </row>
    <row r="538" spans="1:9" x14ac:dyDescent="0.35">
      <c r="A538" s="1">
        <f>ROW()-ROW(BARANGMASUK!$A$3)</f>
        <v>535</v>
      </c>
      <c r="B538" s="1" t="s">
        <v>1468</v>
      </c>
      <c r="C538" s="24">
        <v>46005</v>
      </c>
      <c r="D538" s="1" t="s">
        <v>1439</v>
      </c>
      <c r="E538" s="15" t="s">
        <v>1440</v>
      </c>
      <c r="F538" s="1" t="s">
        <v>1409</v>
      </c>
      <c r="G538" s="32">
        <v>100000</v>
      </c>
      <c r="H538" s="1" t="s">
        <v>7</v>
      </c>
      <c r="I538" s="1">
        <v>1</v>
      </c>
    </row>
    <row r="539" spans="1:9" x14ac:dyDescent="0.35">
      <c r="A539" s="1">
        <f>ROW()-ROW(BARANGMASUK!$A$3)</f>
        <v>536</v>
      </c>
      <c r="B539" s="1" t="s">
        <v>1469</v>
      </c>
      <c r="C539" s="24">
        <v>46005</v>
      </c>
      <c r="D539" s="1" t="s">
        <v>1442</v>
      </c>
      <c r="E539" s="15" t="s">
        <v>1443</v>
      </c>
      <c r="F539" s="1" t="s">
        <v>1409</v>
      </c>
      <c r="G539" s="32">
        <v>190000</v>
      </c>
      <c r="H539" s="1" t="s">
        <v>7</v>
      </c>
      <c r="I539" s="1">
        <v>1</v>
      </c>
    </row>
    <row r="540" spans="1:9" x14ac:dyDescent="0.35">
      <c r="A540" s="1">
        <f>ROW()-ROW(BARANGMASUK!$A$3)</f>
        <v>537</v>
      </c>
      <c r="B540" s="1" t="s">
        <v>1470</v>
      </c>
      <c r="C540" s="24">
        <v>46005</v>
      </c>
      <c r="D540" s="1" t="s">
        <v>1442</v>
      </c>
      <c r="E540" s="15" t="s">
        <v>1443</v>
      </c>
      <c r="F540" s="1" t="s">
        <v>1409</v>
      </c>
      <c r="G540" s="32">
        <v>190000</v>
      </c>
      <c r="H540" s="1" t="s">
        <v>7</v>
      </c>
      <c r="I540" s="1">
        <v>1</v>
      </c>
    </row>
    <row r="541" spans="1:9" x14ac:dyDescent="0.35">
      <c r="A541" s="1">
        <f>ROW()-ROW(BARANGMASUK!$A$3)</f>
        <v>538</v>
      </c>
      <c r="B541" s="1" t="s">
        <v>1471</v>
      </c>
      <c r="C541" s="24">
        <v>46005</v>
      </c>
      <c r="D541" s="1" t="s">
        <v>1442</v>
      </c>
      <c r="E541" s="15" t="s">
        <v>1443</v>
      </c>
      <c r="F541" s="1" t="s">
        <v>1409</v>
      </c>
      <c r="G541" s="32">
        <v>190000</v>
      </c>
      <c r="H541" s="1" t="s">
        <v>7</v>
      </c>
      <c r="I541" s="1">
        <v>1</v>
      </c>
    </row>
    <row r="542" spans="1:9" x14ac:dyDescent="0.35">
      <c r="A542" s="1">
        <f>ROW()-ROW(BARANGMASUK!$A$3)</f>
        <v>539</v>
      </c>
      <c r="B542" s="1" t="s">
        <v>1497</v>
      </c>
      <c r="C542" s="24">
        <v>46000</v>
      </c>
      <c r="D542" s="1" t="s">
        <v>1495</v>
      </c>
      <c r="E542" s="15" t="s">
        <v>1496</v>
      </c>
      <c r="F542" s="1" t="s">
        <v>1409</v>
      </c>
      <c r="G542" s="32">
        <v>397900</v>
      </c>
      <c r="H542" s="1" t="s">
        <v>7</v>
      </c>
      <c r="I542" s="1">
        <v>1</v>
      </c>
    </row>
    <row r="543" spans="1:9" x14ac:dyDescent="0.35">
      <c r="A543" s="1">
        <f>ROW()-ROW(BARANGMASUK!$A$3)</f>
        <v>540</v>
      </c>
      <c r="B543" s="1" t="s">
        <v>1501</v>
      </c>
      <c r="C543" s="24">
        <v>46007</v>
      </c>
      <c r="D543" s="1" t="s">
        <v>25</v>
      </c>
      <c r="E543" s="15" t="s">
        <v>50</v>
      </c>
      <c r="F543" s="1" t="s">
        <v>27</v>
      </c>
      <c r="G543" s="32">
        <v>540000</v>
      </c>
      <c r="H543" s="1" t="s">
        <v>7</v>
      </c>
      <c r="I543" s="1">
        <v>10</v>
      </c>
    </row>
    <row r="544" spans="1:9" x14ac:dyDescent="0.35">
      <c r="A544" s="1">
        <f>ROW()-ROW(BARANGMASUK!$A$3)</f>
        <v>541</v>
      </c>
      <c r="B544" s="1" t="s">
        <v>1504</v>
      </c>
      <c r="C544" s="24">
        <v>46013</v>
      </c>
      <c r="D544" s="1" t="s">
        <v>25</v>
      </c>
      <c r="E544" s="15" t="s">
        <v>50</v>
      </c>
      <c r="F544" s="1" t="s">
        <v>27</v>
      </c>
      <c r="G544" s="32">
        <v>440000</v>
      </c>
      <c r="H544" s="1" t="s">
        <v>7</v>
      </c>
      <c r="I544" s="1">
        <v>8</v>
      </c>
    </row>
    <row r="545" spans="1:9" x14ac:dyDescent="0.35">
      <c r="A545" s="1">
        <f>ROW()-ROW(BARANGMASUK!$A$3)</f>
        <v>542</v>
      </c>
      <c r="B545" s="1" t="s">
        <v>1505</v>
      </c>
      <c r="C545" s="24">
        <v>46013</v>
      </c>
      <c r="D545" s="1" t="s">
        <v>122</v>
      </c>
      <c r="E545" s="15" t="s">
        <v>123</v>
      </c>
      <c r="F545" s="1" t="s">
        <v>521</v>
      </c>
      <c r="G545" s="32">
        <v>60000</v>
      </c>
      <c r="H545" s="1" t="s">
        <v>7</v>
      </c>
      <c r="I545" s="1">
        <v>4</v>
      </c>
    </row>
    <row r="546" spans="1:9" x14ac:dyDescent="0.35">
      <c r="A546" s="1">
        <f>ROW()-ROW(BARANGMASUK!$A$3)</f>
        <v>543</v>
      </c>
      <c r="B546" s="1" t="s">
        <v>1506</v>
      </c>
      <c r="C546" s="24">
        <v>46013</v>
      </c>
      <c r="D546" s="1" t="s">
        <v>433</v>
      </c>
      <c r="E546" s="15" t="s">
        <v>434</v>
      </c>
      <c r="F546" s="1" t="s">
        <v>435</v>
      </c>
      <c r="G546" s="32">
        <v>42000</v>
      </c>
      <c r="H546" s="1" t="s">
        <v>7</v>
      </c>
      <c r="I546" s="1">
        <v>2</v>
      </c>
    </row>
    <row r="547" spans="1:9" x14ac:dyDescent="0.35">
      <c r="A547" s="1">
        <f>ROW()-ROW(BARANGMASUK!$A$3)</f>
        <v>544</v>
      </c>
      <c r="B547" s="1" t="s">
        <v>1507</v>
      </c>
      <c r="C547" s="24">
        <v>46013</v>
      </c>
      <c r="D547" s="1" t="s">
        <v>1502</v>
      </c>
      <c r="E547" s="15" t="s">
        <v>1503</v>
      </c>
      <c r="F547" s="1" t="s">
        <v>30</v>
      </c>
      <c r="G547" s="32">
        <v>13000</v>
      </c>
      <c r="H547" s="1" t="s">
        <v>7</v>
      </c>
      <c r="I547" s="1">
        <v>1</v>
      </c>
    </row>
    <row r="548" spans="1:9" x14ac:dyDescent="0.35">
      <c r="A548" s="1">
        <f>ROW()-ROW(BARANGMASUK!$A$3)</f>
        <v>545</v>
      </c>
      <c r="B548" s="1" t="s">
        <v>1508</v>
      </c>
      <c r="C548" s="24">
        <v>46013</v>
      </c>
      <c r="D548" s="1" t="s">
        <v>600</v>
      </c>
      <c r="E548" s="15" t="s">
        <v>601</v>
      </c>
      <c r="F548" s="1" t="s">
        <v>30</v>
      </c>
      <c r="G548" s="32">
        <v>70000</v>
      </c>
      <c r="H548" s="1" t="s">
        <v>7</v>
      </c>
      <c r="I548" s="1">
        <v>2</v>
      </c>
    </row>
    <row r="549" spans="1:9" x14ac:dyDescent="0.35">
      <c r="A549" s="1">
        <f>ROW()-ROW(BARANGMASUK!$A$3)</f>
        <v>546</v>
      </c>
      <c r="B549" s="1" t="s">
        <v>1509</v>
      </c>
      <c r="C549" s="24">
        <v>46013</v>
      </c>
      <c r="D549" s="1" t="s">
        <v>865</v>
      </c>
      <c r="E549" s="15" t="s">
        <v>866</v>
      </c>
      <c r="F549" s="1" t="s">
        <v>562</v>
      </c>
      <c r="G549" s="32">
        <v>40000</v>
      </c>
      <c r="H549" s="1" t="s">
        <v>7</v>
      </c>
      <c r="I549" s="1">
        <v>2</v>
      </c>
    </row>
    <row r="550" spans="1:9" x14ac:dyDescent="0.35">
      <c r="A550" s="1">
        <f>ROW()-ROW(BARANGMASUK!$A$3)</f>
        <v>547</v>
      </c>
      <c r="B550" s="1" t="s">
        <v>1510</v>
      </c>
      <c r="C550" s="24">
        <v>46013</v>
      </c>
      <c r="D550" s="1" t="s">
        <v>25</v>
      </c>
      <c r="E550" s="15" t="s">
        <v>50</v>
      </c>
      <c r="F550" s="1" t="s">
        <v>27</v>
      </c>
      <c r="G550" s="32">
        <v>275000</v>
      </c>
      <c r="H550" s="1" t="s">
        <v>7</v>
      </c>
      <c r="I550" s="1">
        <v>5</v>
      </c>
    </row>
    <row r="551" spans="1:9" x14ac:dyDescent="0.35">
      <c r="A551" s="1">
        <f>ROW()-ROW(BARANGMASUK!$A$3)</f>
        <v>548</v>
      </c>
      <c r="B551" s="1" t="s">
        <v>1511</v>
      </c>
      <c r="C551" s="24">
        <v>46013</v>
      </c>
      <c r="D551" s="1" t="s">
        <v>1330</v>
      </c>
      <c r="E551" s="15" t="s">
        <v>1331</v>
      </c>
      <c r="F551" s="1" t="s">
        <v>106</v>
      </c>
      <c r="G551" s="32">
        <v>33000</v>
      </c>
      <c r="H551" s="1" t="s">
        <v>7</v>
      </c>
      <c r="I551" s="1">
        <v>2</v>
      </c>
    </row>
    <row r="552" spans="1:9" x14ac:dyDescent="0.35">
      <c r="A552" s="1">
        <f>ROW()-ROW(BARANGMASUK!$A$3)</f>
        <v>549</v>
      </c>
      <c r="B552" s="1" t="s">
        <v>1512</v>
      </c>
      <c r="C552" s="24">
        <v>46013</v>
      </c>
      <c r="D552" s="1" t="s">
        <v>433</v>
      </c>
      <c r="E552" s="15" t="s">
        <v>434</v>
      </c>
      <c r="F552" s="1" t="s">
        <v>435</v>
      </c>
      <c r="G552" s="32">
        <v>42000</v>
      </c>
      <c r="H552" s="1" t="s">
        <v>7</v>
      </c>
      <c r="I552" s="1">
        <v>2</v>
      </c>
    </row>
    <row r="553" spans="1:9" x14ac:dyDescent="0.35">
      <c r="A553" s="1">
        <f>ROW()-ROW(BARANGMASUK!$A$3)</f>
        <v>550</v>
      </c>
      <c r="B553" s="1" t="s">
        <v>1513</v>
      </c>
      <c r="C553" s="24">
        <v>46013</v>
      </c>
      <c r="D553" s="1" t="s">
        <v>600</v>
      </c>
      <c r="E553" s="15" t="s">
        <v>601</v>
      </c>
      <c r="F553" s="1" t="s">
        <v>30</v>
      </c>
      <c r="G553" s="32">
        <v>35000</v>
      </c>
      <c r="H553" s="1" t="s">
        <v>7</v>
      </c>
      <c r="I553" s="1">
        <v>1</v>
      </c>
    </row>
    <row r="554" spans="1:9" x14ac:dyDescent="0.35">
      <c r="A554" s="1">
        <f>ROW()-ROW(BARANGMASUK!$A$3)</f>
        <v>551</v>
      </c>
      <c r="B554" s="1" t="s">
        <v>1514</v>
      </c>
      <c r="C554" s="24">
        <v>46013</v>
      </c>
      <c r="D554" s="1" t="s">
        <v>865</v>
      </c>
      <c r="E554" s="15" t="s">
        <v>866</v>
      </c>
      <c r="F554" s="1" t="s">
        <v>562</v>
      </c>
      <c r="G554" s="32">
        <v>40000</v>
      </c>
      <c r="H554" s="1" t="s">
        <v>7</v>
      </c>
      <c r="I554" s="1">
        <v>2</v>
      </c>
    </row>
    <row r="555" spans="1:9" x14ac:dyDescent="0.35">
      <c r="A555" s="1">
        <f>ROW()-ROW(BARANGMASUK!$A$3)</f>
        <v>552</v>
      </c>
      <c r="B555" s="1" t="s">
        <v>1515</v>
      </c>
      <c r="C555" s="24">
        <v>46013</v>
      </c>
      <c r="D555" s="1" t="s">
        <v>25</v>
      </c>
      <c r="E555" s="15" t="s">
        <v>50</v>
      </c>
      <c r="F555" s="1" t="s">
        <v>27</v>
      </c>
      <c r="G555" s="32">
        <v>275000</v>
      </c>
      <c r="H555" s="1" t="s">
        <v>7</v>
      </c>
      <c r="I555" s="1">
        <v>5</v>
      </c>
    </row>
    <row r="556" spans="1:9" x14ac:dyDescent="0.35">
      <c r="A556" s="1">
        <f>ROW()-ROW(BARANGMASUK!$A$3)</f>
        <v>553</v>
      </c>
      <c r="B556" s="1" t="s">
        <v>1516</v>
      </c>
      <c r="C556" s="24">
        <v>46013</v>
      </c>
      <c r="D556" s="1" t="s">
        <v>25</v>
      </c>
      <c r="E556" s="15" t="s">
        <v>50</v>
      </c>
      <c r="F556" s="1" t="s">
        <v>27</v>
      </c>
      <c r="G556" s="32">
        <v>275000</v>
      </c>
      <c r="H556" s="1" t="s">
        <v>7</v>
      </c>
      <c r="I556" s="1">
        <v>5</v>
      </c>
    </row>
    <row r="557" spans="1:9" x14ac:dyDescent="0.35">
      <c r="A557" s="1">
        <f>ROW()-ROW(BARANGMASUK!$A$3)</f>
        <v>554</v>
      </c>
      <c r="B557" s="1" t="s">
        <v>1519</v>
      </c>
      <c r="C557" s="24">
        <v>46013</v>
      </c>
      <c r="D557" s="1" t="s">
        <v>335</v>
      </c>
      <c r="E557" s="15" t="s">
        <v>336</v>
      </c>
      <c r="F557" s="1" t="s">
        <v>47</v>
      </c>
      <c r="G557" s="32">
        <v>95000</v>
      </c>
      <c r="H557" s="1" t="s">
        <v>7</v>
      </c>
      <c r="I557" s="1">
        <v>1</v>
      </c>
    </row>
    <row r="558" spans="1:9" x14ac:dyDescent="0.35">
      <c r="A558" s="1">
        <f>ROW()-ROW(BARANGMASUK!$A$3)</f>
        <v>555</v>
      </c>
      <c r="B558" s="1" t="s">
        <v>1520</v>
      </c>
      <c r="C558" s="24">
        <v>46013</v>
      </c>
      <c r="D558" s="1" t="s">
        <v>653</v>
      </c>
      <c r="E558" s="15" t="s">
        <v>654</v>
      </c>
      <c r="F558" s="1" t="s">
        <v>30</v>
      </c>
      <c r="G558" s="32">
        <v>30000</v>
      </c>
      <c r="H558" s="1" t="s">
        <v>7</v>
      </c>
      <c r="I558" s="1">
        <v>2</v>
      </c>
    </row>
    <row r="559" spans="1:9" x14ac:dyDescent="0.35">
      <c r="A559" s="1">
        <f>ROW()-ROW(BARANGMASUK!$A$3)</f>
        <v>556</v>
      </c>
      <c r="B559" s="1" t="s">
        <v>1521</v>
      </c>
      <c r="C559" s="24">
        <v>46013</v>
      </c>
      <c r="D559" s="1" t="s">
        <v>122</v>
      </c>
      <c r="E559" s="15" t="s">
        <v>123</v>
      </c>
      <c r="F559" s="1" t="s">
        <v>521</v>
      </c>
      <c r="G559" s="32">
        <v>85000</v>
      </c>
      <c r="H559" s="1" t="s">
        <v>7</v>
      </c>
      <c r="I559" s="1">
        <v>5</v>
      </c>
    </row>
    <row r="560" spans="1:9" x14ac:dyDescent="0.35">
      <c r="A560" s="1">
        <f>ROW()-ROW(BARANGMASUK!$A$3)</f>
        <v>557</v>
      </c>
      <c r="B560" s="1" t="s">
        <v>1522</v>
      </c>
      <c r="C560" s="24">
        <v>46013</v>
      </c>
      <c r="D560" s="1" t="s">
        <v>113</v>
      </c>
      <c r="E560" s="15" t="s">
        <v>114</v>
      </c>
      <c r="F560" s="1" t="s">
        <v>41</v>
      </c>
      <c r="G560" s="32">
        <v>90000</v>
      </c>
      <c r="H560" s="1" t="s">
        <v>7</v>
      </c>
      <c r="I560" s="1">
        <v>3</v>
      </c>
    </row>
    <row r="561" spans="1:9" x14ac:dyDescent="0.35">
      <c r="A561" s="1">
        <f>ROW()-ROW(BARANGMASUK!$A$3)</f>
        <v>558</v>
      </c>
      <c r="B561" s="1" t="s">
        <v>1523</v>
      </c>
      <c r="C561" s="24">
        <v>46013</v>
      </c>
      <c r="D561" s="1" t="s">
        <v>136</v>
      </c>
      <c r="E561" s="15" t="s">
        <v>137</v>
      </c>
      <c r="F561" s="1" t="s">
        <v>30</v>
      </c>
      <c r="G561" s="32">
        <v>60000</v>
      </c>
      <c r="H561" s="1" t="s">
        <v>7</v>
      </c>
      <c r="I561" s="1">
        <v>3</v>
      </c>
    </row>
    <row r="562" spans="1:9" x14ac:dyDescent="0.35">
      <c r="A562" s="1">
        <f>ROW()-ROW(BARANGMASUK!$A$3)</f>
        <v>559</v>
      </c>
      <c r="B562" s="1" t="s">
        <v>1524</v>
      </c>
      <c r="C562" s="24">
        <v>46013</v>
      </c>
      <c r="D562" s="1" t="s">
        <v>1517</v>
      </c>
      <c r="E562" s="15" t="s">
        <v>1518</v>
      </c>
      <c r="F562" s="1" t="s">
        <v>30</v>
      </c>
      <c r="G562" s="32">
        <v>70000</v>
      </c>
      <c r="H562" s="1" t="s">
        <v>7</v>
      </c>
      <c r="I562" s="1">
        <v>10</v>
      </c>
    </row>
    <row r="563" spans="1:9" x14ac:dyDescent="0.35">
      <c r="A563" s="1">
        <f>ROW()-ROW(BARANGMASUK!$A$3)</f>
        <v>560</v>
      </c>
      <c r="B563" s="1" t="s">
        <v>1525</v>
      </c>
      <c r="C563" s="24">
        <v>46013</v>
      </c>
      <c r="D563" s="1" t="s">
        <v>95</v>
      </c>
      <c r="E563" s="15" t="s">
        <v>96</v>
      </c>
      <c r="F563" s="1" t="s">
        <v>30</v>
      </c>
      <c r="G563" s="32">
        <v>78000</v>
      </c>
      <c r="H563" s="1" t="s">
        <v>7</v>
      </c>
      <c r="I563" s="1">
        <v>1</v>
      </c>
    </row>
    <row r="564" spans="1:9" x14ac:dyDescent="0.35">
      <c r="A564" s="1">
        <f>ROW()-ROW(BARANGMASUK!$A$3)</f>
        <v>561</v>
      </c>
      <c r="B564" s="1" t="s">
        <v>1526</v>
      </c>
      <c r="C564" s="24">
        <v>46013</v>
      </c>
      <c r="D564" s="1" t="s">
        <v>25</v>
      </c>
      <c r="E564" s="15" t="s">
        <v>50</v>
      </c>
      <c r="F564" s="1" t="s">
        <v>27</v>
      </c>
      <c r="G564" s="32">
        <v>440000</v>
      </c>
      <c r="H564" s="1" t="s">
        <v>7</v>
      </c>
      <c r="I564" s="1">
        <v>8</v>
      </c>
    </row>
    <row r="565" spans="1:9" x14ac:dyDescent="0.35">
      <c r="A565" s="1">
        <f>ROW()-ROW(BARANGMASUK!$A$3)</f>
        <v>562</v>
      </c>
      <c r="B565" s="1" t="s">
        <v>1527</v>
      </c>
      <c r="C565" s="24">
        <v>46013</v>
      </c>
      <c r="D565" s="1" t="s">
        <v>148</v>
      </c>
      <c r="E565" s="15" t="s">
        <v>149</v>
      </c>
      <c r="F565" s="1" t="s">
        <v>41</v>
      </c>
      <c r="G565" s="32">
        <v>75000</v>
      </c>
      <c r="H565" s="1" t="s">
        <v>7</v>
      </c>
      <c r="I565" s="1">
        <v>3</v>
      </c>
    </row>
    <row r="566" spans="1:9" x14ac:dyDescent="0.35">
      <c r="A566" s="1">
        <f>ROW()-ROW(BARANGMASUK!$A$3)</f>
        <v>563</v>
      </c>
      <c r="B566" s="1" t="s">
        <v>1528</v>
      </c>
      <c r="C566" s="24">
        <v>46013</v>
      </c>
      <c r="D566" s="1" t="s">
        <v>1000</v>
      </c>
      <c r="E566" s="15" t="s">
        <v>1001</v>
      </c>
      <c r="F566" s="1" t="s">
        <v>41</v>
      </c>
      <c r="G566" s="32">
        <v>30000</v>
      </c>
      <c r="H566" s="1" t="s">
        <v>7</v>
      </c>
      <c r="I566" s="1">
        <v>10</v>
      </c>
    </row>
    <row r="567" spans="1:9" x14ac:dyDescent="0.35">
      <c r="A567" s="1">
        <f>ROW()-ROW(BARANGMASUK!$A$3)</f>
        <v>564</v>
      </c>
      <c r="B567" s="1" t="s">
        <v>1529</v>
      </c>
      <c r="C567" s="24">
        <v>46013</v>
      </c>
      <c r="D567" s="1" t="s">
        <v>1320</v>
      </c>
      <c r="E567" s="15" t="s">
        <v>1321</v>
      </c>
      <c r="F567" s="1" t="s">
        <v>30</v>
      </c>
      <c r="G567" s="32">
        <v>13000</v>
      </c>
      <c r="H567" s="1" t="s">
        <v>7</v>
      </c>
      <c r="I567" s="1">
        <v>1</v>
      </c>
    </row>
    <row r="568" spans="1:9" x14ac:dyDescent="0.35">
      <c r="A568" s="1">
        <f>ROW()-ROW(BARANGMASUK!$A$3)</f>
        <v>565</v>
      </c>
      <c r="B568" s="1" t="s">
        <v>1530</v>
      </c>
      <c r="C568" s="24">
        <v>46013</v>
      </c>
      <c r="D568" s="1" t="s">
        <v>1002</v>
      </c>
      <c r="E568" s="15" t="s">
        <v>1003</v>
      </c>
      <c r="F568" s="1" t="s">
        <v>435</v>
      </c>
      <c r="G568" s="32">
        <v>48000</v>
      </c>
      <c r="H568" s="1" t="s">
        <v>7</v>
      </c>
      <c r="I568" s="1">
        <v>2</v>
      </c>
    </row>
    <row r="569" spans="1:9" x14ac:dyDescent="0.35">
      <c r="A569" s="1">
        <f>ROW()-ROW(BARANGMASUK!$A$3)</f>
        <v>566</v>
      </c>
      <c r="B569" s="1" t="s">
        <v>1531</v>
      </c>
      <c r="C569" s="24">
        <v>46013</v>
      </c>
      <c r="D569" s="1" t="s">
        <v>58</v>
      </c>
      <c r="E569" s="15" t="s">
        <v>59</v>
      </c>
      <c r="F569" s="1" t="s">
        <v>35</v>
      </c>
      <c r="G569" s="32">
        <v>200000</v>
      </c>
      <c r="H569" s="1" t="s">
        <v>7</v>
      </c>
      <c r="I569" s="1">
        <v>2</v>
      </c>
    </row>
    <row r="570" spans="1:9" x14ac:dyDescent="0.35">
      <c r="A570" s="1">
        <f>ROW()-ROW(BARANGMASUK!$A$3)</f>
        <v>567</v>
      </c>
      <c r="B570" s="1" t="s">
        <v>1533</v>
      </c>
      <c r="C570" s="24">
        <v>46000</v>
      </c>
      <c r="D570" s="1" t="s">
        <v>1532</v>
      </c>
      <c r="E570" s="15" t="s">
        <v>1496</v>
      </c>
      <c r="F570" s="1" t="s">
        <v>1409</v>
      </c>
      <c r="G570" s="32">
        <v>397900</v>
      </c>
      <c r="H570" s="1" t="s">
        <v>7</v>
      </c>
      <c r="I570" s="1">
        <v>1</v>
      </c>
    </row>
    <row r="571" spans="1:9" x14ac:dyDescent="0.35">
      <c r="A571" s="1">
        <f>ROW()-ROW(BARANGMASUK!$A$3)</f>
        <v>568</v>
      </c>
      <c r="B571" s="1" t="s">
        <v>1557</v>
      </c>
      <c r="C571" s="24">
        <v>46013</v>
      </c>
      <c r="D571" s="1" t="s">
        <v>1555</v>
      </c>
      <c r="E571" s="15" t="s">
        <v>1556</v>
      </c>
      <c r="F571" s="1" t="s">
        <v>30</v>
      </c>
      <c r="G571" s="32">
        <v>13000</v>
      </c>
      <c r="H571" s="1" t="s">
        <v>7</v>
      </c>
      <c r="I571" s="1">
        <v>1</v>
      </c>
    </row>
    <row r="572" spans="1:9" x14ac:dyDescent="0.35">
      <c r="A572" s="1">
        <f>ROW()-ROW(BARANGMASUK!$A$3)</f>
        <v>569</v>
      </c>
      <c r="B572" s="1" t="s">
        <v>1643</v>
      </c>
      <c r="C572" s="24">
        <v>46022</v>
      </c>
      <c r="D572" s="1" t="s">
        <v>1641</v>
      </c>
      <c r="E572" s="15" t="s">
        <v>1642</v>
      </c>
      <c r="F572" s="1" t="s">
        <v>30</v>
      </c>
      <c r="G572" s="32">
        <v>520000</v>
      </c>
      <c r="H572" s="1" t="s">
        <v>7</v>
      </c>
      <c r="I572" s="1">
        <v>4</v>
      </c>
    </row>
    <row r="573" spans="1:9" x14ac:dyDescent="0.35">
      <c r="A573" s="1">
        <f>ROW()-ROW(BARANGMASUK!$A$3)</f>
        <v>570</v>
      </c>
      <c r="B573" s="1" t="s">
        <v>1571</v>
      </c>
      <c r="C573" s="24">
        <v>46042</v>
      </c>
      <c r="D573" s="1" t="s">
        <v>1567</v>
      </c>
      <c r="E573" s="15" t="s">
        <v>1568</v>
      </c>
      <c r="F573" s="1" t="s">
        <v>30</v>
      </c>
      <c r="G573" s="32">
        <v>1625000</v>
      </c>
      <c r="H573" s="1" t="s">
        <v>7</v>
      </c>
      <c r="I573" s="1">
        <v>13</v>
      </c>
    </row>
    <row r="574" spans="1:9" x14ac:dyDescent="0.35">
      <c r="A574" s="1">
        <f>ROW()-ROW(BARANGMASUK!$A$3)</f>
        <v>571</v>
      </c>
      <c r="B574" s="1" t="s">
        <v>1572</v>
      </c>
      <c r="C574" s="24">
        <v>46042</v>
      </c>
      <c r="D574" s="1" t="s">
        <v>1569</v>
      </c>
      <c r="E574" s="15" t="s">
        <v>1570</v>
      </c>
      <c r="F574" s="1" t="s">
        <v>30</v>
      </c>
      <c r="G574" s="32">
        <v>325000</v>
      </c>
      <c r="H574" s="1" t="s">
        <v>7</v>
      </c>
      <c r="I574" s="1">
        <v>13</v>
      </c>
    </row>
    <row r="575" spans="1:9" x14ac:dyDescent="0.35">
      <c r="A575" s="1">
        <f>ROW()-ROW(BARANGMASUK!$A$3)</f>
        <v>572</v>
      </c>
      <c r="B575" s="1" t="s">
        <v>1565</v>
      </c>
      <c r="C575" s="24">
        <v>46090</v>
      </c>
      <c r="D575" s="1" t="s">
        <v>198</v>
      </c>
      <c r="E575" s="15" t="s">
        <v>199</v>
      </c>
      <c r="F575" s="1" t="s">
        <v>106</v>
      </c>
      <c r="G575" s="32">
        <v>35000</v>
      </c>
      <c r="H575" s="1" t="s">
        <v>7</v>
      </c>
      <c r="I575" s="1">
        <v>1</v>
      </c>
    </row>
    <row r="576" spans="1:9" x14ac:dyDescent="0.35">
      <c r="A576" s="1">
        <f>ROW()-ROW(BARANGMASUK!$A$3)</f>
        <v>573</v>
      </c>
      <c r="B576" s="1" t="s">
        <v>1566</v>
      </c>
      <c r="C576" s="24">
        <v>46091</v>
      </c>
      <c r="D576" s="1" t="s">
        <v>25</v>
      </c>
      <c r="E576" s="15" t="s">
        <v>50</v>
      </c>
      <c r="F576" s="1" t="s">
        <v>27</v>
      </c>
      <c r="G576" s="32">
        <v>270000</v>
      </c>
      <c r="H576" s="1" t="s">
        <v>7</v>
      </c>
      <c r="I576" s="1">
        <v>5</v>
      </c>
    </row>
    <row r="577" spans="1:9" x14ac:dyDescent="0.35">
      <c r="A577" s="1">
        <f>ROW()-ROW(BARANGMASUK!$A$3)</f>
        <v>574</v>
      </c>
      <c r="B577" s="1" t="s">
        <v>1640</v>
      </c>
      <c r="C577" s="24">
        <v>46111</v>
      </c>
      <c r="D577" s="1" t="s">
        <v>25</v>
      </c>
      <c r="E577" s="15" t="s">
        <v>50</v>
      </c>
      <c r="F577" s="1" t="s">
        <v>27</v>
      </c>
      <c r="G577" s="32">
        <v>265000</v>
      </c>
      <c r="H577" s="1" t="s">
        <v>7</v>
      </c>
      <c r="I577" s="1">
        <v>5</v>
      </c>
    </row>
    <row r="578" spans="1:9" x14ac:dyDescent="0.35">
      <c r="A578" s="1">
        <f>ROW()-ROW(BARANGMASUK!$A$3)</f>
        <v>575</v>
      </c>
      <c r="B578" s="1" t="s">
        <v>1637</v>
      </c>
      <c r="C578" s="24">
        <v>46118</v>
      </c>
      <c r="D578" s="1" t="s">
        <v>1631</v>
      </c>
      <c r="E578" s="15" t="s">
        <v>1632</v>
      </c>
      <c r="F578" s="1" t="s">
        <v>1409</v>
      </c>
      <c r="G578" s="32">
        <v>85500</v>
      </c>
      <c r="H578" s="1" t="s">
        <v>7</v>
      </c>
      <c r="I578" s="1">
        <v>9</v>
      </c>
    </row>
    <row r="579" spans="1:9" x14ac:dyDescent="0.35">
      <c r="A579" s="1">
        <f>ROW()-ROW(BARANGMASUK!$A$3)</f>
        <v>576</v>
      </c>
      <c r="B579" s="1" t="s">
        <v>1638</v>
      </c>
      <c r="C579" s="24">
        <v>46118</v>
      </c>
      <c r="D579" s="1" t="s">
        <v>1633</v>
      </c>
      <c r="E579" s="15" t="s">
        <v>1634</v>
      </c>
      <c r="F579" s="1" t="s">
        <v>1409</v>
      </c>
      <c r="G579" s="32">
        <v>8500</v>
      </c>
      <c r="H579" s="1" t="s">
        <v>7</v>
      </c>
      <c r="I579" s="1">
        <v>1</v>
      </c>
    </row>
    <row r="580" spans="1:9" x14ac:dyDescent="0.35">
      <c r="A580" s="1">
        <f>ROW()-ROW(BARANGMASUK!$A$3)</f>
        <v>577</v>
      </c>
      <c r="B580" s="1" t="s">
        <v>1639</v>
      </c>
      <c r="C580" s="24">
        <v>46118</v>
      </c>
      <c r="D580" s="1" t="s">
        <v>1635</v>
      </c>
      <c r="E580" s="15" t="s">
        <v>1636</v>
      </c>
      <c r="F580" s="1" t="s">
        <v>1409</v>
      </c>
      <c r="G580" s="32">
        <v>255000</v>
      </c>
      <c r="H580" s="1" t="s">
        <v>7</v>
      </c>
      <c r="I580" s="1">
        <v>30</v>
      </c>
    </row>
    <row r="581" spans="1:9" x14ac:dyDescent="0.35">
      <c r="A581" s="1">
        <f>ROW()-ROW(BARANGMASUK!$A$3)</f>
        <v>578</v>
      </c>
      <c r="B581" s="1" t="s">
        <v>1573</v>
      </c>
      <c r="C581" s="24">
        <v>46119</v>
      </c>
      <c r="D581" s="1" t="s">
        <v>25</v>
      </c>
      <c r="E581" s="15" t="s">
        <v>50</v>
      </c>
      <c r="F581" s="1" t="s">
        <v>27</v>
      </c>
      <c r="G581" s="32">
        <v>245000</v>
      </c>
      <c r="H581" s="1" t="s">
        <v>7</v>
      </c>
      <c r="I581" s="1">
        <v>5</v>
      </c>
    </row>
    <row r="582" spans="1:9" x14ac:dyDescent="0.35">
      <c r="A582" s="1">
        <f>ROW()-ROW(BARANGMASUK!$A$3)</f>
        <v>579</v>
      </c>
      <c r="B582" s="1" t="s">
        <v>1643</v>
      </c>
      <c r="C582" s="24">
        <v>46121</v>
      </c>
      <c r="D582" s="1" t="s">
        <v>25</v>
      </c>
      <c r="E582" s="15" t="s">
        <v>50</v>
      </c>
      <c r="F582" s="1" t="s">
        <v>27</v>
      </c>
      <c r="G582" s="32">
        <v>262500</v>
      </c>
      <c r="H582" s="1" t="s">
        <v>7</v>
      </c>
      <c r="I582" s="1">
        <v>5</v>
      </c>
    </row>
    <row r="583" spans="1:9" x14ac:dyDescent="0.35">
      <c r="A583" s="1">
        <f>ROW()-ROW(BARANGMASUK!$A$3)</f>
        <v>580</v>
      </c>
      <c r="B583" s="1" t="s">
        <v>1663</v>
      </c>
      <c r="C583" s="24">
        <v>46129</v>
      </c>
      <c r="D583" s="1" t="s">
        <v>528</v>
      </c>
      <c r="E583" s="15" t="s">
        <v>529</v>
      </c>
      <c r="F583" s="1" t="s">
        <v>30</v>
      </c>
      <c r="G583" s="32">
        <v>20000</v>
      </c>
      <c r="H583" s="1" t="s">
        <v>7</v>
      </c>
      <c r="I583" s="1">
        <v>1</v>
      </c>
    </row>
    <row r="584" spans="1:9" x14ac:dyDescent="0.35">
      <c r="A584" s="1">
        <f>ROW()-ROW(BARANGMASUK!$A$3)</f>
        <v>581</v>
      </c>
      <c r="B584" s="1" t="s">
        <v>1664</v>
      </c>
      <c r="C584" s="24">
        <v>46132</v>
      </c>
      <c r="D584" s="1" t="s">
        <v>25</v>
      </c>
      <c r="E584" s="15" t="s">
        <v>50</v>
      </c>
      <c r="F584" s="1" t="s">
        <v>27</v>
      </c>
      <c r="G584" s="32">
        <v>275000</v>
      </c>
      <c r="H584" s="1" t="s">
        <v>7</v>
      </c>
      <c r="I584" s="1">
        <v>5</v>
      </c>
    </row>
    <row r="585" spans="1:9" x14ac:dyDescent="0.35">
      <c r="A585" s="1">
        <f>ROW()-ROW(BARANGMASUK!$A$3)</f>
        <v>582</v>
      </c>
      <c r="B585" s="1" t="s">
        <v>1665</v>
      </c>
      <c r="C585" s="24">
        <v>46133</v>
      </c>
      <c r="D585" s="1" t="s">
        <v>585</v>
      </c>
      <c r="E585" s="15" t="s">
        <v>586</v>
      </c>
      <c r="F585" s="1" t="s">
        <v>30</v>
      </c>
      <c r="G585" s="32">
        <v>300000</v>
      </c>
      <c r="H585" s="1" t="s">
        <v>7</v>
      </c>
      <c r="I585" s="1">
        <v>3</v>
      </c>
    </row>
    <row r="586" spans="1:9" x14ac:dyDescent="0.35">
      <c r="A586" s="1">
        <f>ROW()-ROW(BARANGMASUK!$A$3)</f>
        <v>583</v>
      </c>
      <c r="B586" s="1" t="s">
        <v>1691</v>
      </c>
      <c r="C586" s="24">
        <v>46135</v>
      </c>
      <c r="D586" s="1" t="s">
        <v>1689</v>
      </c>
      <c r="E586" s="15" t="s">
        <v>1690</v>
      </c>
      <c r="F586" s="1" t="s">
        <v>30</v>
      </c>
      <c r="G586" s="32">
        <v>20000</v>
      </c>
      <c r="H586" s="1" t="s">
        <v>7</v>
      </c>
      <c r="I586" s="1">
        <v>2</v>
      </c>
    </row>
    <row r="587" spans="1:9" x14ac:dyDescent="0.35">
      <c r="A587" s="1">
        <f>ROW()-ROW(BARANGMASUK!$A$3)</f>
        <v>584</v>
      </c>
      <c r="B587" s="1" t="s">
        <v>1692</v>
      </c>
      <c r="C587" s="24">
        <v>46136</v>
      </c>
      <c r="D587" s="1" t="s">
        <v>138</v>
      </c>
      <c r="E587" s="15" t="s">
        <v>139</v>
      </c>
      <c r="F587" s="1" t="s">
        <v>30</v>
      </c>
      <c r="G587" s="32">
        <v>39000</v>
      </c>
      <c r="H587" s="1" t="s">
        <v>7</v>
      </c>
      <c r="I587" s="1">
        <v>3</v>
      </c>
    </row>
    <row r="588" spans="1:9" x14ac:dyDescent="0.35">
      <c r="A588" s="1">
        <f>ROW()-ROW(BARANGMASUK!$A$3)</f>
        <v>585</v>
      </c>
      <c r="B588" s="1" t="s">
        <v>1694</v>
      </c>
      <c r="C588" s="24">
        <v>46136</v>
      </c>
      <c r="D588" s="1" t="s">
        <v>1316</v>
      </c>
      <c r="E588" s="15" t="s">
        <v>1317</v>
      </c>
      <c r="F588" s="1" t="s">
        <v>562</v>
      </c>
      <c r="G588" s="32">
        <v>22000</v>
      </c>
      <c r="H588" s="1" t="s">
        <v>7</v>
      </c>
      <c r="I588" s="1">
        <v>1</v>
      </c>
    </row>
    <row r="589" spans="1:9" x14ac:dyDescent="0.35">
      <c r="A589" s="1">
        <f>ROW()-ROW(BARANGMASUK!$A$3)</f>
        <v>586</v>
      </c>
      <c r="B589" s="1" t="s">
        <v>1699</v>
      </c>
      <c r="C589" s="24">
        <v>46136</v>
      </c>
      <c r="D589" s="1" t="s">
        <v>1697</v>
      </c>
      <c r="E589" s="15" t="s">
        <v>1698</v>
      </c>
      <c r="F589" s="1" t="s">
        <v>30</v>
      </c>
      <c r="G589" s="32">
        <v>20000</v>
      </c>
      <c r="H589" s="1" t="s">
        <v>7</v>
      </c>
      <c r="I589" s="1">
        <v>2</v>
      </c>
    </row>
    <row r="590" spans="1:9" x14ac:dyDescent="0.35">
      <c r="A590" s="1">
        <f>ROW()-ROW(BARANGMASUK!$A$3)</f>
        <v>587</v>
      </c>
      <c r="B590" s="1" t="s">
        <v>1696</v>
      </c>
      <c r="C590" s="24">
        <v>46139</v>
      </c>
      <c r="D590" s="1" t="s">
        <v>1693</v>
      </c>
      <c r="E590" s="15" t="s">
        <v>1695</v>
      </c>
      <c r="F590" s="1" t="s">
        <v>47</v>
      </c>
      <c r="G590" s="32">
        <v>10000</v>
      </c>
      <c r="H590" s="1" t="s">
        <v>7</v>
      </c>
      <c r="I590" s="1">
        <v>5</v>
      </c>
    </row>
    <row r="591" spans="1:9" x14ac:dyDescent="0.35">
      <c r="A591" s="1">
        <f>ROW()-ROW(BARANGMASUK!$A$3)</f>
        <v>588</v>
      </c>
      <c r="B591" s="1" t="s">
        <v>1700</v>
      </c>
      <c r="C591" s="24">
        <v>46146</v>
      </c>
      <c r="D591" s="1" t="s">
        <v>528</v>
      </c>
      <c r="E591" s="15" t="s">
        <v>529</v>
      </c>
      <c r="F591" s="1" t="s">
        <v>30</v>
      </c>
      <c r="G591" s="32">
        <v>20000</v>
      </c>
      <c r="H591" s="1" t="s">
        <v>7</v>
      </c>
      <c r="I591" s="1">
        <v>1</v>
      </c>
    </row>
    <row r="592" spans="1:9" x14ac:dyDescent="0.35">
      <c r="A592" s="1">
        <f>ROW()-ROW(BARANGMASUK!$A$3)</f>
        <v>589</v>
      </c>
      <c r="B592" s="1" t="s">
        <v>1701</v>
      </c>
      <c r="C592" s="24">
        <v>46149</v>
      </c>
      <c r="D592" s="1" t="s">
        <v>25</v>
      </c>
      <c r="E592" s="15" t="s">
        <v>50</v>
      </c>
      <c r="F592" s="1" t="s">
        <v>27</v>
      </c>
      <c r="G592" s="32">
        <v>275000</v>
      </c>
      <c r="H592" s="1" t="s">
        <v>7</v>
      </c>
      <c r="I592" s="1">
        <v>5</v>
      </c>
    </row>
    <row r="593" spans="1:9" x14ac:dyDescent="0.35">
      <c r="A593" s="1">
        <f>ROW()-ROW(BARANGMASUK!$A$3)</f>
        <v>590</v>
      </c>
      <c r="B593" s="1" t="s">
        <v>1702</v>
      </c>
      <c r="C593" s="24">
        <v>46153</v>
      </c>
      <c r="D593" s="1" t="s">
        <v>351</v>
      </c>
      <c r="E593" s="15" t="s">
        <v>352</v>
      </c>
      <c r="F593" s="1" t="s">
        <v>30</v>
      </c>
      <c r="G593" s="32">
        <v>30000</v>
      </c>
      <c r="H593" s="1" t="s">
        <v>7</v>
      </c>
      <c r="I593" s="1">
        <v>2</v>
      </c>
    </row>
    <row r="594" spans="1:9" x14ac:dyDescent="0.35">
      <c r="A594" s="1">
        <f>ROW()-ROW(BARANGMASUK!$A$3)</f>
        <v>591</v>
      </c>
      <c r="B594" s="1" t="s">
        <v>1703</v>
      </c>
      <c r="C594" s="24">
        <v>46154</v>
      </c>
      <c r="D594" s="1" t="s">
        <v>351</v>
      </c>
      <c r="E594" s="15" t="s">
        <v>352</v>
      </c>
      <c r="F594" s="1" t="s">
        <v>30</v>
      </c>
      <c r="G594" s="32">
        <v>13000</v>
      </c>
      <c r="H594" s="1" t="s">
        <v>7</v>
      </c>
      <c r="I594" s="1">
        <v>1</v>
      </c>
    </row>
    <row r="595" spans="1:9" x14ac:dyDescent="0.35">
      <c r="A595" s="1">
        <f>ROW()-ROW(BARANGMASUK!$A$3)</f>
        <v>592</v>
      </c>
      <c r="B595" s="1" t="s">
        <v>1704</v>
      </c>
      <c r="C595" s="24">
        <v>46154</v>
      </c>
      <c r="D595" s="1" t="s">
        <v>341</v>
      </c>
      <c r="E595" s="15" t="s">
        <v>1315</v>
      </c>
      <c r="F595" s="1" t="s">
        <v>30</v>
      </c>
      <c r="G595" s="32">
        <v>25000</v>
      </c>
      <c r="H595" s="1" t="s">
        <v>7</v>
      </c>
      <c r="I595" s="1">
        <v>1</v>
      </c>
    </row>
    <row r="596" spans="1:9" x14ac:dyDescent="0.35">
      <c r="A596" s="1">
        <f>ROW()-ROW(BARANGMASUK!$A$3)</f>
        <v>593</v>
      </c>
      <c r="B596" s="1" t="s">
        <v>1705</v>
      </c>
      <c r="C596" s="24">
        <v>46163</v>
      </c>
      <c r="D596" s="1" t="s">
        <v>25</v>
      </c>
      <c r="E596" s="15" t="s">
        <v>50</v>
      </c>
      <c r="F596" s="1" t="s">
        <v>27</v>
      </c>
      <c r="G596" s="32">
        <v>275000</v>
      </c>
      <c r="H596" s="1" t="s">
        <v>7</v>
      </c>
      <c r="I596" s="1">
        <v>5</v>
      </c>
    </row>
    <row r="597" spans="1:9" x14ac:dyDescent="0.35">
      <c r="A597" s="1">
        <f>ROW()-ROW(BARANGMASUK!$A$3)</f>
        <v>594</v>
      </c>
      <c r="B597" s="1" t="s">
        <v>1710</v>
      </c>
      <c r="C597" s="24">
        <v>46164</v>
      </c>
      <c r="D597" s="1" t="s">
        <v>1706</v>
      </c>
      <c r="E597" s="15" t="s">
        <v>1707</v>
      </c>
      <c r="F597" s="1" t="s">
        <v>47</v>
      </c>
      <c r="G597" s="32">
        <v>480000</v>
      </c>
      <c r="H597" s="1" t="s">
        <v>7</v>
      </c>
      <c r="I597" s="1">
        <v>160</v>
      </c>
    </row>
    <row r="598" spans="1:9" x14ac:dyDescent="0.35">
      <c r="A598" s="1">
        <f>ROW()-ROW(BARANGMASUK!$A$3)</f>
        <v>595</v>
      </c>
      <c r="B598" s="1" t="s">
        <v>1711</v>
      </c>
      <c r="C598" s="24">
        <v>46164</v>
      </c>
      <c r="D598" s="1" t="s">
        <v>1708</v>
      </c>
      <c r="E598" s="15" t="s">
        <v>1709</v>
      </c>
      <c r="F598" s="1" t="s">
        <v>47</v>
      </c>
      <c r="G598" s="32">
        <v>480000</v>
      </c>
      <c r="H598" s="1" t="s">
        <v>7</v>
      </c>
      <c r="I598" s="1">
        <v>160</v>
      </c>
    </row>
    <row r="599" spans="1:9" x14ac:dyDescent="0.35">
      <c r="A599" s="1">
        <f>ROW()-ROW(BARANGMASUK!$A$3)</f>
        <v>596</v>
      </c>
      <c r="B599" s="1" t="s">
        <v>1712</v>
      </c>
      <c r="C599" s="24">
        <v>46167</v>
      </c>
      <c r="D599" s="1" t="s">
        <v>1041</v>
      </c>
      <c r="E599" s="15" t="s">
        <v>1042</v>
      </c>
      <c r="F599" s="1" t="s">
        <v>27</v>
      </c>
      <c r="G599" s="32">
        <v>600000</v>
      </c>
      <c r="H599" s="1" t="s">
        <v>7</v>
      </c>
      <c r="I599" s="1">
        <v>5</v>
      </c>
    </row>
    <row r="600" spans="1:9" x14ac:dyDescent="0.35">
      <c r="A600" s="1">
        <f>ROW()-ROW(BARANGMASUK!$A$3)</f>
        <v>597</v>
      </c>
      <c r="B600" s="1" t="s">
        <v>1732</v>
      </c>
      <c r="C600" s="24">
        <v>46183</v>
      </c>
      <c r="D600" s="1" t="s">
        <v>508</v>
      </c>
      <c r="E600" s="15" t="s">
        <v>509</v>
      </c>
      <c r="F600" s="1" t="s">
        <v>30</v>
      </c>
      <c r="G600" s="32">
        <v>2320000</v>
      </c>
      <c r="H600" s="1" t="s">
        <v>7</v>
      </c>
      <c r="I600" s="1">
        <v>4</v>
      </c>
    </row>
    <row r="601" spans="1:9" x14ac:dyDescent="0.35">
      <c r="A601" s="1">
        <f>ROW()-ROW(BARANGMASUK!$A$3)</f>
        <v>598</v>
      </c>
      <c r="B601" s="1" t="s">
        <v>1733</v>
      </c>
      <c r="C601" s="24">
        <v>46185</v>
      </c>
      <c r="D601" s="1" t="s">
        <v>327</v>
      </c>
      <c r="E601" s="15" t="s">
        <v>328</v>
      </c>
      <c r="F601" s="1" t="s">
        <v>47</v>
      </c>
      <c r="G601" s="32">
        <v>50000</v>
      </c>
      <c r="H601" s="1" t="s">
        <v>7</v>
      </c>
      <c r="I601" s="1">
        <v>10</v>
      </c>
    </row>
    <row r="602" spans="1:9" x14ac:dyDescent="0.35">
      <c r="A602" s="1">
        <f>ROW()-ROW(BARANGMASUK!$A$3)</f>
        <v>599</v>
      </c>
      <c r="B602" s="1" t="s">
        <v>1734</v>
      </c>
      <c r="C602" s="24">
        <v>46185</v>
      </c>
      <c r="D602" s="1" t="s">
        <v>460</v>
      </c>
      <c r="E602" s="15" t="s">
        <v>463</v>
      </c>
      <c r="F602" s="1" t="s">
        <v>30</v>
      </c>
      <c r="G602" s="32">
        <v>18000</v>
      </c>
      <c r="H602" s="1" t="s">
        <v>7</v>
      </c>
      <c r="I602" s="1">
        <v>1</v>
      </c>
    </row>
    <row r="603" spans="1:9" x14ac:dyDescent="0.35">
      <c r="A603" s="1">
        <f>ROW()-ROW(BARANGMASUK!$A$3)</f>
        <v>600</v>
      </c>
      <c r="B603" s="1" t="s">
        <v>1739</v>
      </c>
      <c r="C603" s="24">
        <v>46181</v>
      </c>
      <c r="D603" s="1" t="s">
        <v>1735</v>
      </c>
      <c r="E603" s="15" t="s">
        <v>1736</v>
      </c>
      <c r="F603" s="1" t="s">
        <v>30</v>
      </c>
      <c r="G603" s="32">
        <v>147460</v>
      </c>
      <c r="H603" s="1" t="s">
        <v>7</v>
      </c>
      <c r="I603" s="1">
        <v>2</v>
      </c>
    </row>
    <row r="604" spans="1:9" x14ac:dyDescent="0.35">
      <c r="A604" s="1">
        <f>ROW()-ROW(BARANGMASUK!$A$3)</f>
        <v>601</v>
      </c>
      <c r="B604" s="1" t="s">
        <v>1740</v>
      </c>
      <c r="C604" s="24">
        <v>46175</v>
      </c>
      <c r="D604" s="1" t="s">
        <v>1737</v>
      </c>
      <c r="E604" s="15" t="s">
        <v>1738</v>
      </c>
      <c r="F604" s="1" t="s">
        <v>30</v>
      </c>
      <c r="G604" s="32">
        <v>508000</v>
      </c>
      <c r="H604" s="1" t="s">
        <v>7</v>
      </c>
      <c r="I604" s="1">
        <v>4</v>
      </c>
    </row>
    <row r="605" spans="1:9" x14ac:dyDescent="0.35">
      <c r="A605" s="1">
        <f>ROW()-ROW(BARANGMASUK!$A$3)</f>
        <v>602</v>
      </c>
      <c r="B605" s="1" t="s">
        <v>1755</v>
      </c>
      <c r="C605" s="24">
        <v>46174</v>
      </c>
      <c r="D605" s="1" t="s">
        <v>25</v>
      </c>
      <c r="E605" s="15" t="s">
        <v>50</v>
      </c>
      <c r="F605" s="1" t="s">
        <v>27</v>
      </c>
      <c r="G605" s="32">
        <v>550000</v>
      </c>
      <c r="H605" s="1" t="s">
        <v>7</v>
      </c>
      <c r="I605" s="1">
        <v>10</v>
      </c>
    </row>
    <row r="606" spans="1:9" x14ac:dyDescent="0.35">
      <c r="A606" s="1">
        <f>ROW()-ROW(BARANGMASUK!$A$3)</f>
        <v>603</v>
      </c>
      <c r="B606" s="1" t="s">
        <v>1756</v>
      </c>
      <c r="C606" s="24">
        <v>46195</v>
      </c>
      <c r="D606" s="1" t="s">
        <v>25</v>
      </c>
      <c r="E606" s="15" t="s">
        <v>50</v>
      </c>
      <c r="F606" s="1" t="s">
        <v>27</v>
      </c>
      <c r="G606" s="32">
        <v>265000</v>
      </c>
      <c r="H606" s="1" t="s">
        <v>7</v>
      </c>
      <c r="I606" s="1">
        <v>5</v>
      </c>
    </row>
    <row r="607" spans="1:9" x14ac:dyDescent="0.35">
      <c r="A607" s="1">
        <f>ROW()-ROW(BARANGMASUK!$A$3)</f>
        <v>604</v>
      </c>
      <c r="B607" s="1" t="s">
        <v>1757</v>
      </c>
      <c r="C607" s="24">
        <v>46199</v>
      </c>
      <c r="D607" s="1" t="s">
        <v>25</v>
      </c>
      <c r="E607" s="15" t="s">
        <v>50</v>
      </c>
      <c r="F607" s="1" t="s">
        <v>27</v>
      </c>
      <c r="H607" s="1" t="s">
        <v>7</v>
      </c>
      <c r="I607" s="1">
        <v>5</v>
      </c>
    </row>
    <row r="608" spans="1:9" x14ac:dyDescent="0.35">
      <c r="A608" s="1">
        <f>ROW()-ROW(BARANGMASUK!$A$3)</f>
        <v>605</v>
      </c>
      <c r="B608" s="1" t="s">
        <v>1758</v>
      </c>
      <c r="C608" s="24">
        <v>46200</v>
      </c>
      <c r="D608" s="1" t="s">
        <v>556</v>
      </c>
      <c r="E608" s="15" t="s">
        <v>557</v>
      </c>
      <c r="F608" s="1" t="s">
        <v>106</v>
      </c>
      <c r="G608" s="32">
        <v>14500</v>
      </c>
      <c r="H608" s="1" t="s">
        <v>7</v>
      </c>
      <c r="I608" s="1">
        <v>1</v>
      </c>
    </row>
    <row r="609" spans="1:9" x14ac:dyDescent="0.35">
      <c r="A609" s="1">
        <f>ROW()-ROW(BARANGMASUK!$A$3)</f>
        <v>606</v>
      </c>
      <c r="B609" s="1" t="s">
        <v>1759</v>
      </c>
      <c r="C609" s="24">
        <v>46200</v>
      </c>
      <c r="D609" s="1" t="s">
        <v>931</v>
      </c>
      <c r="E609" s="15" t="s">
        <v>932</v>
      </c>
      <c r="F609" s="1" t="s">
        <v>435</v>
      </c>
      <c r="G609" s="32">
        <v>21000</v>
      </c>
      <c r="H609" s="1" t="s">
        <v>7</v>
      </c>
      <c r="I609" s="1">
        <v>1</v>
      </c>
    </row>
    <row r="610" spans="1:9" x14ac:dyDescent="0.35">
      <c r="A610" s="1">
        <f>ROW()-ROW(BARANGMASUK!$A$3)</f>
        <v>607</v>
      </c>
      <c r="B610" s="1" t="s">
        <v>1760</v>
      </c>
      <c r="C610" s="24">
        <v>46200</v>
      </c>
      <c r="D610" s="1" t="s">
        <v>1741</v>
      </c>
      <c r="E610" s="15" t="s">
        <v>1742</v>
      </c>
      <c r="F610" s="1" t="s">
        <v>30</v>
      </c>
      <c r="G610" s="32">
        <v>26000</v>
      </c>
      <c r="H610" s="1" t="s">
        <v>7</v>
      </c>
      <c r="I610" s="1">
        <v>2</v>
      </c>
    </row>
    <row r="611" spans="1:9" x14ac:dyDescent="0.35">
      <c r="A611" s="1">
        <f>ROW()-ROW(BARANGMASUK!$A$3)</f>
        <v>608</v>
      </c>
      <c r="B611" s="1" t="s">
        <v>1761</v>
      </c>
      <c r="C611" s="24">
        <v>46200</v>
      </c>
      <c r="D611" s="1" t="s">
        <v>963</v>
      </c>
      <c r="E611" s="15" t="s">
        <v>964</v>
      </c>
      <c r="F611" s="1" t="s">
        <v>304</v>
      </c>
      <c r="G611" s="32">
        <v>44000</v>
      </c>
      <c r="H611" s="1" t="s">
        <v>7</v>
      </c>
      <c r="I611" s="1">
        <v>2</v>
      </c>
    </row>
    <row r="612" spans="1:9" x14ac:dyDescent="0.35">
      <c r="A612" s="1">
        <f>ROW()-ROW(BARANGMASUK!$A$3)</f>
        <v>609</v>
      </c>
      <c r="B612" s="1" t="s">
        <v>1762</v>
      </c>
      <c r="C612" s="24">
        <v>46200</v>
      </c>
      <c r="D612" s="1" t="s">
        <v>95</v>
      </c>
      <c r="E612" s="15" t="s">
        <v>96</v>
      </c>
      <c r="F612" s="1" t="s">
        <v>30</v>
      </c>
      <c r="G612" s="32">
        <v>74000</v>
      </c>
      <c r="H612" s="1" t="s">
        <v>7</v>
      </c>
      <c r="I612" s="1">
        <v>1</v>
      </c>
    </row>
    <row r="613" spans="1:9" x14ac:dyDescent="0.35">
      <c r="A613" s="1">
        <f>ROW()-ROW(BARANGMASUK!$A$3)</f>
        <v>610</v>
      </c>
      <c r="B613" s="1" t="s">
        <v>1763</v>
      </c>
      <c r="C613" s="24">
        <v>46200</v>
      </c>
      <c r="D613" s="1" t="s">
        <v>92</v>
      </c>
      <c r="E613" s="15" t="s">
        <v>93</v>
      </c>
      <c r="F613" s="1" t="s">
        <v>106</v>
      </c>
      <c r="G613" s="32">
        <v>136000</v>
      </c>
      <c r="H613" s="1" t="s">
        <v>7</v>
      </c>
      <c r="I613" s="1">
        <v>1</v>
      </c>
    </row>
    <row r="614" spans="1:9" x14ac:dyDescent="0.35">
      <c r="A614" s="1">
        <f>ROW()-ROW(BARANGMASUK!$A$3)</f>
        <v>611</v>
      </c>
      <c r="B614" s="1" t="s">
        <v>1764</v>
      </c>
      <c r="C614" s="24">
        <v>46200</v>
      </c>
      <c r="D614" s="1" t="s">
        <v>600</v>
      </c>
      <c r="E614" s="15" t="s">
        <v>601</v>
      </c>
      <c r="F614" s="1" t="s">
        <v>30</v>
      </c>
      <c r="G614" s="32">
        <v>30000</v>
      </c>
      <c r="H614" s="1" t="s">
        <v>7</v>
      </c>
      <c r="I614" s="1">
        <v>1</v>
      </c>
    </row>
    <row r="615" spans="1:9" x14ac:dyDescent="0.35">
      <c r="A615" s="1">
        <f>ROW()-ROW(BARANGMASUK!$A$3)</f>
        <v>612</v>
      </c>
      <c r="B615" s="1" t="s">
        <v>1765</v>
      </c>
      <c r="C615" s="24">
        <v>46200</v>
      </c>
      <c r="D615" s="1" t="s">
        <v>1743</v>
      </c>
      <c r="E615" s="15" t="s">
        <v>1744</v>
      </c>
      <c r="F615" s="1" t="s">
        <v>30</v>
      </c>
      <c r="G615" s="32">
        <v>7000</v>
      </c>
      <c r="H615" s="1" t="s">
        <v>7</v>
      </c>
      <c r="I615" s="1">
        <v>1</v>
      </c>
    </row>
    <row r="616" spans="1:9" x14ac:dyDescent="0.35">
      <c r="A616" s="1">
        <f>ROW()-ROW(BARANGMASUK!$A$3)</f>
        <v>613</v>
      </c>
      <c r="B616" s="1" t="s">
        <v>1766</v>
      </c>
      <c r="C616" s="24">
        <v>46200</v>
      </c>
      <c r="D616" s="1" t="s">
        <v>1745</v>
      </c>
      <c r="E616" s="15" t="s">
        <v>1746</v>
      </c>
      <c r="F616" s="1" t="s">
        <v>30</v>
      </c>
      <c r="G616" s="32">
        <v>57000</v>
      </c>
      <c r="H616" s="1" t="s">
        <v>7</v>
      </c>
      <c r="I616" s="1">
        <v>2</v>
      </c>
    </row>
    <row r="617" spans="1:9" x14ac:dyDescent="0.35">
      <c r="A617" s="1">
        <f>ROW()-ROW(BARANGMASUK!$A$3)</f>
        <v>614</v>
      </c>
      <c r="B617" s="1" t="s">
        <v>1767</v>
      </c>
      <c r="C617" s="24">
        <v>46200</v>
      </c>
      <c r="D617" s="1" t="s">
        <v>1316</v>
      </c>
      <c r="E617" s="15" t="s">
        <v>1317</v>
      </c>
      <c r="F617" s="1" t="s">
        <v>562</v>
      </c>
      <c r="G617" s="32">
        <v>8500</v>
      </c>
      <c r="H617" s="1" t="s">
        <v>7</v>
      </c>
      <c r="I617" s="1">
        <v>1</v>
      </c>
    </row>
    <row r="618" spans="1:9" x14ac:dyDescent="0.35">
      <c r="A618" s="1">
        <f>ROW()-ROW(BARANGMASUK!$A$3)</f>
        <v>615</v>
      </c>
      <c r="B618" s="1" t="s">
        <v>1768</v>
      </c>
      <c r="C618" s="24">
        <v>46200</v>
      </c>
      <c r="D618" s="1" t="s">
        <v>394</v>
      </c>
      <c r="E618" s="15" t="s">
        <v>395</v>
      </c>
      <c r="F618" s="1" t="s">
        <v>106</v>
      </c>
      <c r="G618" s="32">
        <v>21000</v>
      </c>
      <c r="H618" s="1" t="s">
        <v>7</v>
      </c>
      <c r="I618" s="1">
        <v>2</v>
      </c>
    </row>
    <row r="619" spans="1:9" x14ac:dyDescent="0.35">
      <c r="A619" s="1">
        <f>ROW()-ROW(BARANGMASUK!$A$3)</f>
        <v>616</v>
      </c>
      <c r="B619" s="1" t="s">
        <v>1769</v>
      </c>
      <c r="C619" s="24">
        <v>46200</v>
      </c>
      <c r="D619" s="1" t="s">
        <v>645</v>
      </c>
      <c r="E619" s="15" t="s">
        <v>1333</v>
      </c>
      <c r="F619" s="1" t="s">
        <v>562</v>
      </c>
      <c r="G619" s="32">
        <v>12000</v>
      </c>
      <c r="H619" s="1" t="s">
        <v>7</v>
      </c>
      <c r="I619" s="1">
        <v>3</v>
      </c>
    </row>
    <row r="620" spans="1:9" x14ac:dyDescent="0.35">
      <c r="A620" s="1">
        <f>ROW()-ROW(BARANGMASUK!$A$3)</f>
        <v>617</v>
      </c>
      <c r="B620" s="1" t="s">
        <v>1770</v>
      </c>
      <c r="C620" s="24">
        <v>46200</v>
      </c>
      <c r="D620" s="1" t="s">
        <v>1747</v>
      </c>
      <c r="E620" s="15" t="s">
        <v>1748</v>
      </c>
      <c r="F620" s="1" t="s">
        <v>562</v>
      </c>
      <c r="G620" s="32">
        <v>10000</v>
      </c>
      <c r="H620" s="1" t="s">
        <v>7</v>
      </c>
      <c r="I620" s="1">
        <v>2</v>
      </c>
    </row>
    <row r="621" spans="1:9" x14ac:dyDescent="0.35">
      <c r="A621" s="1">
        <f>ROW()-ROW(BARANGMASUK!$A$3)</f>
        <v>618</v>
      </c>
      <c r="B621" s="1" t="s">
        <v>1771</v>
      </c>
      <c r="C621" s="24">
        <v>46200</v>
      </c>
      <c r="D621" s="1" t="s">
        <v>1749</v>
      </c>
      <c r="E621" s="15" t="s">
        <v>1750</v>
      </c>
      <c r="F621" s="1" t="s">
        <v>562</v>
      </c>
      <c r="G621" s="32">
        <v>8000</v>
      </c>
      <c r="H621" s="1" t="s">
        <v>7</v>
      </c>
      <c r="I621" s="1">
        <v>2</v>
      </c>
    </row>
    <row r="622" spans="1:9" x14ac:dyDescent="0.35">
      <c r="A622" s="1">
        <f>ROW()-ROW(BARANGMASUK!$A$3)</f>
        <v>619</v>
      </c>
      <c r="B622" s="1" t="s">
        <v>1772</v>
      </c>
      <c r="C622" s="24">
        <v>46200</v>
      </c>
      <c r="D622" s="1" t="s">
        <v>421</v>
      </c>
      <c r="E622" s="15" t="s">
        <v>422</v>
      </c>
      <c r="F622" s="1" t="s">
        <v>106</v>
      </c>
      <c r="G622" s="32">
        <v>89000</v>
      </c>
      <c r="H622" s="1" t="s">
        <v>7</v>
      </c>
      <c r="I622" s="1">
        <v>2</v>
      </c>
    </row>
    <row r="623" spans="1:9" x14ac:dyDescent="0.35">
      <c r="A623" s="1">
        <f>ROW()-ROW(BARANGMASUK!$A$3)</f>
        <v>620</v>
      </c>
      <c r="B623" s="1" t="s">
        <v>1773</v>
      </c>
      <c r="C623" s="24">
        <v>46200</v>
      </c>
      <c r="D623" s="1" t="s">
        <v>965</v>
      </c>
      <c r="E623" s="15" t="s">
        <v>966</v>
      </c>
      <c r="F623" s="1" t="s">
        <v>30</v>
      </c>
      <c r="G623" s="32">
        <v>15000</v>
      </c>
      <c r="H623" s="1" t="s">
        <v>7</v>
      </c>
      <c r="I623" s="1">
        <v>241</v>
      </c>
    </row>
    <row r="624" spans="1:9" x14ac:dyDescent="0.35">
      <c r="A624" s="1">
        <f>ROW()-ROW(BARANGMASUK!$A$3)</f>
        <v>621</v>
      </c>
      <c r="B624" s="1" t="s">
        <v>1774</v>
      </c>
      <c r="C624" s="24">
        <v>46200</v>
      </c>
      <c r="D624" s="1" t="s">
        <v>444</v>
      </c>
      <c r="E624" s="15" t="s">
        <v>1328</v>
      </c>
      <c r="F624" s="1" t="s">
        <v>106</v>
      </c>
      <c r="G624" s="32">
        <v>18000</v>
      </c>
      <c r="H624" s="1" t="s">
        <v>7</v>
      </c>
      <c r="I624" s="1">
        <v>1</v>
      </c>
    </row>
    <row r="625" spans="1:9" x14ac:dyDescent="0.35">
      <c r="A625" s="1">
        <f>ROW()-ROW(BARANGMASUK!$A$3)</f>
        <v>622</v>
      </c>
      <c r="B625" s="1" t="s">
        <v>1775</v>
      </c>
      <c r="C625" s="24">
        <v>46200</v>
      </c>
      <c r="D625" s="1" t="s">
        <v>630</v>
      </c>
      <c r="E625" s="15" t="s">
        <v>631</v>
      </c>
      <c r="F625" s="1" t="s">
        <v>41</v>
      </c>
      <c r="G625" s="32">
        <v>26500</v>
      </c>
      <c r="H625" s="1" t="s">
        <v>7</v>
      </c>
      <c r="I625" s="1">
        <v>1</v>
      </c>
    </row>
    <row r="626" spans="1:9" x14ac:dyDescent="0.35">
      <c r="A626" s="1">
        <f>ROW()-ROW(BARANGMASUK!$A$3)</f>
        <v>623</v>
      </c>
      <c r="B626" s="1" t="s">
        <v>1776</v>
      </c>
      <c r="C626" s="24">
        <v>46200</v>
      </c>
      <c r="D626" s="1" t="s">
        <v>1751</v>
      </c>
      <c r="E626" s="15" t="s">
        <v>1752</v>
      </c>
      <c r="F626" s="1" t="s">
        <v>304</v>
      </c>
      <c r="G626" s="32">
        <v>55000</v>
      </c>
      <c r="H626" s="1" t="s">
        <v>7</v>
      </c>
      <c r="I626" s="1">
        <v>2</v>
      </c>
    </row>
    <row r="627" spans="1:9" x14ac:dyDescent="0.35">
      <c r="A627" s="1">
        <f>ROW()-ROW(BARANGMASUK!$A$3)</f>
        <v>624</v>
      </c>
      <c r="B627" s="1" t="s">
        <v>1777</v>
      </c>
      <c r="C627" s="24">
        <v>46200</v>
      </c>
      <c r="D627" s="1" t="s">
        <v>1753</v>
      </c>
      <c r="E627" s="15" t="s">
        <v>1754</v>
      </c>
      <c r="F627" s="1" t="s">
        <v>304</v>
      </c>
      <c r="G627" s="32">
        <v>1628000</v>
      </c>
      <c r="H627" s="1" t="s">
        <v>7</v>
      </c>
      <c r="I627" s="1">
        <v>37</v>
      </c>
    </row>
    <row r="628" spans="1:9" x14ac:dyDescent="0.35">
      <c r="A628" s="1">
        <f>ROW()-ROW(BARANGMASUK!$A$3)</f>
        <v>625</v>
      </c>
      <c r="B628" s="1" t="s">
        <v>1778</v>
      </c>
      <c r="C628" s="24">
        <v>46200</v>
      </c>
      <c r="D628" s="1" t="s">
        <v>464</v>
      </c>
      <c r="E628" s="15" t="s">
        <v>465</v>
      </c>
      <c r="F628" s="1" t="s">
        <v>30</v>
      </c>
      <c r="G628" s="32">
        <v>6500</v>
      </c>
      <c r="H628" s="1" t="s">
        <v>7</v>
      </c>
      <c r="I628" s="1">
        <v>1</v>
      </c>
    </row>
    <row r="629" spans="1:9" x14ac:dyDescent="0.35">
      <c r="A629" s="1">
        <f>ROW()-ROW(BARANGMASUK!$A$3)</f>
        <v>626</v>
      </c>
      <c r="B629" s="1" t="s">
        <v>1779</v>
      </c>
      <c r="C629" s="24">
        <v>46200</v>
      </c>
      <c r="D629" s="1" t="s">
        <v>398</v>
      </c>
      <c r="E629" s="15" t="s">
        <v>399</v>
      </c>
      <c r="F629" s="1" t="s">
        <v>30</v>
      </c>
      <c r="G629" s="32">
        <v>192000</v>
      </c>
      <c r="H629" s="1" t="s">
        <v>7</v>
      </c>
      <c r="I629" s="1">
        <v>12</v>
      </c>
    </row>
    <row r="630" spans="1:9" x14ac:dyDescent="0.35">
      <c r="A630" s="1">
        <f>ROW()-ROW(BARANGMASUK!$A$3)</f>
        <v>627</v>
      </c>
      <c r="B630" s="1" t="s">
        <v>1780</v>
      </c>
      <c r="C630" s="24">
        <v>46200</v>
      </c>
      <c r="D630" s="1" t="s">
        <v>402</v>
      </c>
      <c r="E630" s="15" t="s">
        <v>403</v>
      </c>
      <c r="F630" s="1" t="s">
        <v>41</v>
      </c>
      <c r="G630" s="32">
        <v>455000</v>
      </c>
      <c r="H630" s="1" t="s">
        <v>7</v>
      </c>
      <c r="I630" s="1">
        <v>5</v>
      </c>
    </row>
    <row r="631" spans="1:9" x14ac:dyDescent="0.35">
      <c r="A631" s="1">
        <f>ROW()-ROW(BARANGMASUK!$A$3)</f>
        <v>628</v>
      </c>
      <c r="B631" s="1" t="s">
        <v>1781</v>
      </c>
      <c r="C631" s="24">
        <v>46200</v>
      </c>
      <c r="D631" s="1" t="s">
        <v>400</v>
      </c>
      <c r="E631" s="15" t="s">
        <v>401</v>
      </c>
      <c r="F631" s="1" t="s">
        <v>30</v>
      </c>
      <c r="G631" s="32">
        <v>174000</v>
      </c>
      <c r="H631" s="1" t="s">
        <v>7</v>
      </c>
      <c r="I631" s="1">
        <v>12</v>
      </c>
    </row>
    <row r="632" spans="1:9" x14ac:dyDescent="0.35">
      <c r="A632" s="1">
        <f>ROW()-ROW(BARANGMASUK!$A$3)</f>
        <v>629</v>
      </c>
      <c r="B632" s="1" t="s">
        <v>1807</v>
      </c>
      <c r="C632" s="24">
        <v>46216</v>
      </c>
      <c r="D632" s="1" t="s">
        <v>1753</v>
      </c>
      <c r="E632" s="15" t="s">
        <v>1754</v>
      </c>
      <c r="F632" s="1" t="s">
        <v>304</v>
      </c>
      <c r="G632" s="32">
        <v>440000</v>
      </c>
      <c r="H632" s="1" t="s">
        <v>7</v>
      </c>
      <c r="I632" s="1">
        <v>10</v>
      </c>
    </row>
    <row r="633" spans="1:9" x14ac:dyDescent="0.35">
      <c r="A633" s="1">
        <f>ROW()-ROW(BARANGMASUK!$A$3)</f>
        <v>630</v>
      </c>
      <c r="B633" s="1" t="s">
        <v>1808</v>
      </c>
      <c r="C633" s="24">
        <v>46216</v>
      </c>
      <c r="D633" s="1" t="s">
        <v>1805</v>
      </c>
      <c r="E633" s="15" t="s">
        <v>1806</v>
      </c>
      <c r="F633" s="1" t="s">
        <v>562</v>
      </c>
      <c r="G633" s="32">
        <v>2500</v>
      </c>
      <c r="H633" s="1" t="s">
        <v>7</v>
      </c>
      <c r="I633" s="1">
        <v>1</v>
      </c>
    </row>
    <row r="634" spans="1:9" x14ac:dyDescent="0.35">
      <c r="A634" s="1">
        <f>ROW()-ROW(BARANGMASUK!$A$3)</f>
        <v>631</v>
      </c>
      <c r="B634" s="1" t="s">
        <v>1809</v>
      </c>
      <c r="C634" s="24">
        <v>46216</v>
      </c>
      <c r="D634" s="1" t="s">
        <v>52</v>
      </c>
      <c r="E634" s="15" t="s">
        <v>53</v>
      </c>
      <c r="F634" s="1" t="s">
        <v>35</v>
      </c>
      <c r="G634" s="32">
        <v>735000</v>
      </c>
      <c r="H634" s="1" t="s">
        <v>7</v>
      </c>
      <c r="I634" s="1">
        <v>3</v>
      </c>
    </row>
    <row r="635" spans="1:9" x14ac:dyDescent="0.35">
      <c r="A635" s="1">
        <f>ROW()-ROW(BARANGMASUK!$A$3)</f>
        <v>632</v>
      </c>
      <c r="B635" s="1" t="s">
        <v>1810</v>
      </c>
      <c r="C635" s="24">
        <v>46216</v>
      </c>
      <c r="D635" s="1" t="s">
        <v>54</v>
      </c>
      <c r="E635" s="15" t="s">
        <v>55</v>
      </c>
      <c r="F635" s="1" t="s">
        <v>35</v>
      </c>
      <c r="G635" s="32">
        <v>720000</v>
      </c>
      <c r="H635" s="1" t="s">
        <v>7</v>
      </c>
      <c r="I635" s="1">
        <v>3</v>
      </c>
    </row>
    <row r="636" spans="1:9" x14ac:dyDescent="0.35">
      <c r="A636" s="1">
        <f>ROW()-ROW(BARANGMASUK!$A$3)</f>
        <v>633</v>
      </c>
      <c r="B636" s="1" t="s">
        <v>1811</v>
      </c>
      <c r="C636" s="24">
        <v>46216</v>
      </c>
      <c r="D636" s="1" t="s">
        <v>56</v>
      </c>
      <c r="E636" s="15" t="s">
        <v>57</v>
      </c>
      <c r="F636" s="1" t="s">
        <v>35</v>
      </c>
      <c r="G636" s="32">
        <v>735000</v>
      </c>
      <c r="H636" s="1" t="s">
        <v>7</v>
      </c>
      <c r="I636" s="1">
        <v>3</v>
      </c>
    </row>
    <row r="637" spans="1:9" x14ac:dyDescent="0.35">
      <c r="A637" s="1">
        <f>ROW()-ROW(BARANGMASUK!$A$3)</f>
        <v>634</v>
      </c>
      <c r="B637" s="1" t="s">
        <v>1812</v>
      </c>
      <c r="C637" s="24">
        <v>46216</v>
      </c>
      <c r="D637" s="1" t="s">
        <v>28</v>
      </c>
      <c r="E637" s="15" t="s">
        <v>51</v>
      </c>
      <c r="F637" s="1" t="s">
        <v>35</v>
      </c>
      <c r="G637" s="32">
        <v>595000</v>
      </c>
      <c r="H637" s="1" t="s">
        <v>7</v>
      </c>
      <c r="I637" s="1">
        <v>2</v>
      </c>
    </row>
    <row r="638" spans="1:9" x14ac:dyDescent="0.35">
      <c r="A638" s="1">
        <f>ROW()-ROW(BARANGMASUK!$A$3)</f>
        <v>635</v>
      </c>
      <c r="B638" s="1" t="s">
        <v>1813</v>
      </c>
      <c r="C638" s="24">
        <v>46227</v>
      </c>
      <c r="D638" s="1" t="s">
        <v>25</v>
      </c>
      <c r="E638" s="15" t="s">
        <v>1042</v>
      </c>
      <c r="F638" s="1" t="s">
        <v>27</v>
      </c>
      <c r="G638" s="32">
        <v>250000</v>
      </c>
      <c r="H638" s="1" t="s">
        <v>7</v>
      </c>
      <c r="I638" s="1">
        <v>2</v>
      </c>
    </row>
    <row r="639" spans="1:9" x14ac:dyDescent="0.35">
      <c r="A639" s="1">
        <f>ROW()-ROW(BARANGMASUK!$A$3)</f>
        <v>636</v>
      </c>
      <c r="B639" s="1" t="s">
        <v>1814</v>
      </c>
      <c r="C639" s="24">
        <v>46228</v>
      </c>
      <c r="D639" s="1" t="s">
        <v>42</v>
      </c>
      <c r="E639" s="15" t="s">
        <v>43</v>
      </c>
      <c r="F639" s="1" t="s">
        <v>30</v>
      </c>
      <c r="G639" s="32">
        <v>12000</v>
      </c>
      <c r="H639" s="1" t="s">
        <v>7</v>
      </c>
      <c r="I639" s="1">
        <v>1</v>
      </c>
    </row>
    <row r="640" spans="1:9" x14ac:dyDescent="0.35">
      <c r="A640" s="1">
        <f>ROW()-ROW(BARANGMASUK!$A$3)</f>
        <v>637</v>
      </c>
      <c r="B640" s="1" t="s">
        <v>1815</v>
      </c>
      <c r="C640" s="24">
        <v>46228</v>
      </c>
      <c r="D640" s="1" t="s">
        <v>636</v>
      </c>
      <c r="E640" s="15" t="s">
        <v>637</v>
      </c>
      <c r="F640" s="1" t="s">
        <v>30</v>
      </c>
      <c r="G640" s="32">
        <v>27000</v>
      </c>
      <c r="H640" s="1" t="s">
        <v>7</v>
      </c>
      <c r="I640" s="1">
        <v>3</v>
      </c>
    </row>
    <row r="641" spans="1:9" x14ac:dyDescent="0.35">
      <c r="A641" s="1">
        <f>ROW()-ROW(BARANGMASUK!$A$3)</f>
        <v>638</v>
      </c>
      <c r="B641" s="1" t="s">
        <v>1816</v>
      </c>
      <c r="C641" s="24">
        <v>46228</v>
      </c>
      <c r="D641" s="1" t="s">
        <v>1803</v>
      </c>
      <c r="E641" s="15" t="s">
        <v>1804</v>
      </c>
      <c r="F641" s="1" t="s">
        <v>30</v>
      </c>
      <c r="G641" s="32">
        <v>15500</v>
      </c>
      <c r="H641" s="1" t="s">
        <v>7</v>
      </c>
      <c r="I641" s="1">
        <v>1</v>
      </c>
    </row>
    <row r="642" spans="1:9" x14ac:dyDescent="0.35">
      <c r="A642" s="1">
        <f>ROW()-ROW(BARANGMASUK!$A$3)</f>
        <v>639</v>
      </c>
      <c r="B642" s="1" t="s">
        <v>1817</v>
      </c>
      <c r="C642" s="24">
        <v>46228</v>
      </c>
      <c r="D642" s="1" t="s">
        <v>1110</v>
      </c>
      <c r="E642" s="15" t="s">
        <v>1111</v>
      </c>
      <c r="F642" s="1" t="s">
        <v>30</v>
      </c>
      <c r="G642" s="32">
        <v>26000</v>
      </c>
      <c r="H642" s="1" t="s">
        <v>7</v>
      </c>
      <c r="I642" s="1">
        <v>2</v>
      </c>
    </row>
    <row r="643" spans="1:9" x14ac:dyDescent="0.35">
      <c r="A643" s="1">
        <f>ROW()-ROW(BARANGMASUK!$A$3)</f>
        <v>640</v>
      </c>
      <c r="B643" s="1" t="s">
        <v>1851</v>
      </c>
      <c r="C643" s="24">
        <v>46233</v>
      </c>
      <c r="D643" s="1" t="s">
        <v>25</v>
      </c>
      <c r="E643" s="15" t="s">
        <v>50</v>
      </c>
      <c r="F643" s="1" t="s">
        <v>27</v>
      </c>
      <c r="G643" s="32">
        <v>159000</v>
      </c>
      <c r="H643" s="1" t="s">
        <v>7</v>
      </c>
      <c r="I643" s="1">
        <v>3</v>
      </c>
    </row>
    <row r="644" spans="1:9" x14ac:dyDescent="0.35">
      <c r="A644" s="1">
        <f>ROW()-ROW(BARANGMASUK!$A$3)</f>
        <v>641</v>
      </c>
      <c r="B644" s="1" t="s">
        <v>1855</v>
      </c>
      <c r="C644" s="24">
        <v>46233</v>
      </c>
      <c r="D644" s="1" t="s">
        <v>1852</v>
      </c>
      <c r="E644" s="15" t="s">
        <v>1853</v>
      </c>
      <c r="F644" s="1" t="s">
        <v>1854</v>
      </c>
      <c r="G644" s="32">
        <v>26000</v>
      </c>
      <c r="H644" s="1" t="s">
        <v>7</v>
      </c>
      <c r="I644" s="1">
        <v>2</v>
      </c>
    </row>
    <row r="645" spans="1:9" x14ac:dyDescent="0.35">
      <c r="A645" s="1">
        <f>ROW()-ROW(BARANGMASUK!$A$3)</f>
        <v>642</v>
      </c>
      <c r="B645" s="1" t="s">
        <v>1856</v>
      </c>
      <c r="C645" s="24">
        <v>46233</v>
      </c>
      <c r="D645" s="1" t="s">
        <v>1112</v>
      </c>
      <c r="E645" s="15" t="s">
        <v>1113</v>
      </c>
      <c r="F645" s="1" t="s">
        <v>30</v>
      </c>
      <c r="G645" s="32">
        <v>15000</v>
      </c>
      <c r="H645" s="1" t="s">
        <v>7</v>
      </c>
      <c r="I645" s="1">
        <v>1</v>
      </c>
    </row>
    <row r="646" spans="1:9" x14ac:dyDescent="0.35">
      <c r="A646" s="1">
        <f>ROW()-ROW(BARANGMASUK!$A$3)</f>
        <v>643</v>
      </c>
      <c r="B646" s="1" t="s">
        <v>1863</v>
      </c>
      <c r="C646" s="24">
        <v>46237</v>
      </c>
      <c r="D646" s="1" t="s">
        <v>25</v>
      </c>
      <c r="E646" s="15" t="s">
        <v>50</v>
      </c>
      <c r="F646" s="1" t="s">
        <v>27</v>
      </c>
      <c r="G646" s="32">
        <v>280000</v>
      </c>
      <c r="H646" s="1" t="s">
        <v>7</v>
      </c>
      <c r="I646" s="1">
        <v>5</v>
      </c>
    </row>
    <row r="647" spans="1:9" x14ac:dyDescent="0.35">
      <c r="A647" s="1">
        <f>ROW()-ROW(BARANGMASUK!$A$3)</f>
        <v>644</v>
      </c>
      <c r="B647" s="1" t="s">
        <v>1864</v>
      </c>
      <c r="C647" s="24">
        <v>46237</v>
      </c>
      <c r="D647" s="1" t="s">
        <v>909</v>
      </c>
      <c r="E647" s="15" t="s">
        <v>910</v>
      </c>
      <c r="F647" s="1" t="s">
        <v>911</v>
      </c>
      <c r="G647" s="32">
        <v>42000</v>
      </c>
      <c r="H647" s="1" t="s">
        <v>7</v>
      </c>
      <c r="I647" s="1">
        <v>2</v>
      </c>
    </row>
    <row r="648" spans="1:9" x14ac:dyDescent="0.35">
      <c r="A648" s="1">
        <f>ROW()-ROW(BARANGMASUK!$A$3)</f>
        <v>645</v>
      </c>
      <c r="B648" s="1" t="s">
        <v>1865</v>
      </c>
      <c r="C648" s="24">
        <v>46226</v>
      </c>
      <c r="D648" s="1" t="s">
        <v>1569</v>
      </c>
      <c r="E648" s="15" t="s">
        <v>1570</v>
      </c>
      <c r="F648" s="1" t="s">
        <v>30</v>
      </c>
      <c r="G648" s="32">
        <v>1344000</v>
      </c>
      <c r="H648" s="1" t="s">
        <v>7</v>
      </c>
      <c r="I648" s="1">
        <v>48</v>
      </c>
    </row>
    <row r="649" spans="1:9" x14ac:dyDescent="0.35">
      <c r="A649" s="1">
        <f>ROW()-ROW(BARANGMASUK!$A$3)</f>
        <v>646</v>
      </c>
      <c r="B649" s="1" t="s">
        <v>1866</v>
      </c>
      <c r="C649" s="24">
        <v>46226</v>
      </c>
      <c r="D649" s="1" t="s">
        <v>1567</v>
      </c>
      <c r="E649" s="15" t="s">
        <v>1568</v>
      </c>
      <c r="F649" s="1" t="s">
        <v>30</v>
      </c>
      <c r="G649" s="32">
        <v>4320000</v>
      </c>
      <c r="H649" s="1" t="s">
        <v>7</v>
      </c>
      <c r="I649" s="1">
        <v>32</v>
      </c>
    </row>
    <row r="650" spans="1:9" x14ac:dyDescent="0.35">
      <c r="A650" s="1">
        <f>ROW()-ROW(BARANGMASUK!$A$3)</f>
        <v>647</v>
      </c>
      <c r="B650" s="1" t="s">
        <v>1873</v>
      </c>
      <c r="C650" s="24">
        <v>46298</v>
      </c>
      <c r="D650" s="1" t="s">
        <v>25</v>
      </c>
      <c r="E650" s="15" t="s">
        <v>50</v>
      </c>
      <c r="F650" s="1" t="s">
        <v>27</v>
      </c>
      <c r="G650" s="32">
        <v>227000</v>
      </c>
      <c r="H650" s="1" t="s">
        <v>7</v>
      </c>
      <c r="I650" s="1">
        <v>5</v>
      </c>
    </row>
  </sheetData>
  <sortState xmlns:xlrd2="http://schemas.microsoft.com/office/spreadsheetml/2017/richdata2" ref="A4:I181">
    <sortCondition ref="E4:E181"/>
  </sortState>
  <phoneticPr fontId="2" type="noConversion"/>
  <printOptions horizontalCentered="1"/>
  <pageMargins left="0.51181102362204722" right="0.51181102362204722" top="0.74803149606299213" bottom="0.74803149606299213" header="0.31496062992125984" footer="0.31496062992125984"/>
  <pageSetup scale="85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 filterMode="1"/>
  <dimension ref="A1:K539"/>
  <sheetViews>
    <sheetView zoomScale="70" zoomScaleNormal="70" workbookViewId="0">
      <selection activeCell="A477" sqref="A477:A485"/>
    </sheetView>
  </sheetViews>
  <sheetFormatPr defaultColWidth="9.1796875" defaultRowHeight="14.5" x14ac:dyDescent="0.35"/>
  <cols>
    <col min="1" max="1" width="4" style="7" bestFit="1" customWidth="1"/>
    <col min="2" max="2" width="11.453125" style="7" bestFit="1" customWidth="1"/>
    <col min="3" max="3" width="10.7265625" style="7" bestFit="1" customWidth="1"/>
    <col min="4" max="4" width="10.54296875" style="7" bestFit="1" customWidth="1"/>
    <col min="5" max="5" width="61" style="34" bestFit="1" customWidth="1"/>
    <col min="6" max="6" width="7.54296875" style="7" bestFit="1" customWidth="1"/>
    <col min="7" max="7" width="9.1796875" style="7" bestFit="1" customWidth="1"/>
    <col min="8" max="8" width="13.54296875" style="7" bestFit="1" customWidth="1"/>
    <col min="9" max="9" width="37" style="7" customWidth="1"/>
    <col min="10" max="10" width="35" style="7" customWidth="1"/>
    <col min="11" max="11" width="14.26953125" style="7" bestFit="1" customWidth="1"/>
    <col min="12" max="16384" width="9.1796875" style="7"/>
  </cols>
  <sheetData>
    <row r="1" spans="1:11" x14ac:dyDescent="0.35">
      <c r="A1" s="1"/>
      <c r="H1" s="1"/>
      <c r="K1" s="7" t="s">
        <v>11</v>
      </c>
    </row>
    <row r="2" spans="1:11" x14ac:dyDescent="0.35">
      <c r="A2" s="1"/>
      <c r="H2" s="1"/>
      <c r="K2" s="2">
        <f>LEN($K$3)</f>
        <v>3</v>
      </c>
    </row>
    <row r="3" spans="1:11" ht="15" thickBot="1" x14ac:dyDescent="0.4">
      <c r="A3" s="5" t="s">
        <v>0</v>
      </c>
      <c r="B3" s="30" t="s">
        <v>8</v>
      </c>
      <c r="C3" s="30" t="s">
        <v>9</v>
      </c>
      <c r="D3" s="30" t="s">
        <v>1</v>
      </c>
      <c r="E3" s="35" t="s">
        <v>2</v>
      </c>
      <c r="F3" s="30" t="s">
        <v>4</v>
      </c>
      <c r="G3" s="30" t="s">
        <v>6</v>
      </c>
      <c r="H3" s="5" t="s">
        <v>13</v>
      </c>
      <c r="I3" s="5" t="s">
        <v>24</v>
      </c>
      <c r="J3" s="5" t="s">
        <v>390</v>
      </c>
      <c r="K3" s="2">
        <v>534</v>
      </c>
    </row>
    <row r="4" spans="1:11" hidden="1" x14ac:dyDescent="0.35">
      <c r="A4" s="7">
        <f>ROW()-ROW(BARANGKELUAR!$A$3)</f>
        <v>1</v>
      </c>
      <c r="B4" s="7" t="s">
        <v>798</v>
      </c>
      <c r="C4" s="31">
        <v>45659</v>
      </c>
      <c r="D4" s="7" t="s">
        <v>45</v>
      </c>
      <c r="E4" s="34" t="s">
        <v>46</v>
      </c>
      <c r="F4" s="7" t="s">
        <v>47</v>
      </c>
      <c r="G4" s="7" t="s">
        <v>7</v>
      </c>
      <c r="H4" s="7">
        <v>3</v>
      </c>
      <c r="I4" s="7" t="s">
        <v>799</v>
      </c>
      <c r="J4" s="7" t="s">
        <v>800</v>
      </c>
    </row>
    <row r="5" spans="1:11" hidden="1" x14ac:dyDescent="0.35">
      <c r="A5" s="7">
        <f>ROW()-ROW(BARANGKELUAR!$A$3)</f>
        <v>2</v>
      </c>
      <c r="B5" s="7" t="s">
        <v>801</v>
      </c>
      <c r="C5" s="31">
        <v>45659</v>
      </c>
      <c r="D5" s="7" t="s">
        <v>45</v>
      </c>
      <c r="E5" s="34" t="s">
        <v>46</v>
      </c>
      <c r="F5" s="7" t="s">
        <v>47</v>
      </c>
      <c r="G5" s="7" t="s">
        <v>7</v>
      </c>
      <c r="H5" s="7">
        <v>5</v>
      </c>
      <c r="I5" s="7" t="s">
        <v>802</v>
      </c>
      <c r="J5" s="7" t="s">
        <v>803</v>
      </c>
    </row>
    <row r="6" spans="1:11" hidden="1" x14ac:dyDescent="0.35">
      <c r="A6" s="7">
        <f>ROW()-ROW(BARANGKELUAR!$A$3)</f>
        <v>3</v>
      </c>
      <c r="B6" s="7" t="s">
        <v>804</v>
      </c>
      <c r="C6" s="31">
        <v>45663</v>
      </c>
      <c r="D6" s="7" t="s">
        <v>675</v>
      </c>
      <c r="E6" s="34" t="s">
        <v>676</v>
      </c>
      <c r="F6" s="7" t="s">
        <v>30</v>
      </c>
      <c r="G6" s="7" t="s">
        <v>7</v>
      </c>
      <c r="H6" s="7">
        <v>2</v>
      </c>
      <c r="I6" s="7" t="s">
        <v>805</v>
      </c>
      <c r="J6" s="7" t="s">
        <v>806</v>
      </c>
    </row>
    <row r="7" spans="1:11" hidden="1" x14ac:dyDescent="0.35">
      <c r="A7" s="7">
        <f>ROW()-ROW(BARANGKELUAR!$A$3)</f>
        <v>4</v>
      </c>
      <c r="B7" s="7" t="s">
        <v>807</v>
      </c>
      <c r="C7" s="31">
        <v>45663</v>
      </c>
      <c r="D7" s="7" t="s">
        <v>677</v>
      </c>
      <c r="E7" s="34" t="s">
        <v>678</v>
      </c>
      <c r="F7" s="7" t="s">
        <v>30</v>
      </c>
      <c r="G7" s="7" t="s">
        <v>7</v>
      </c>
      <c r="H7" s="7">
        <v>1</v>
      </c>
      <c r="I7" s="7" t="s">
        <v>805</v>
      </c>
      <c r="J7" s="7" t="s">
        <v>806</v>
      </c>
    </row>
    <row r="8" spans="1:11" hidden="1" x14ac:dyDescent="0.35">
      <c r="A8" s="7">
        <f>ROW()-ROW(BARANGKELUAR!$A$3)</f>
        <v>5</v>
      </c>
      <c r="B8" s="7" t="s">
        <v>808</v>
      </c>
      <c r="C8" s="31">
        <v>45663</v>
      </c>
      <c r="D8" s="7" t="s">
        <v>398</v>
      </c>
      <c r="E8" s="34" t="s">
        <v>399</v>
      </c>
      <c r="F8" s="7" t="s">
        <v>30</v>
      </c>
      <c r="G8" s="7" t="s">
        <v>7</v>
      </c>
      <c r="H8" s="7">
        <v>3</v>
      </c>
      <c r="I8" s="7" t="s">
        <v>809</v>
      </c>
      <c r="J8" s="7" t="s">
        <v>800</v>
      </c>
    </row>
    <row r="9" spans="1:11" hidden="1" x14ac:dyDescent="0.35">
      <c r="A9" s="7">
        <f>ROW()-ROW(BARANGKELUAR!$A$3)</f>
        <v>6</v>
      </c>
      <c r="B9" s="7" t="s">
        <v>810</v>
      </c>
      <c r="C9" s="31">
        <v>45664</v>
      </c>
      <c r="D9" s="7" t="s">
        <v>45</v>
      </c>
      <c r="E9" s="34" t="s">
        <v>46</v>
      </c>
      <c r="F9" s="7" t="s">
        <v>47</v>
      </c>
      <c r="G9" s="7" t="s">
        <v>7</v>
      </c>
      <c r="H9" s="7">
        <v>10</v>
      </c>
      <c r="I9" s="7" t="s">
        <v>812</v>
      </c>
      <c r="J9" s="7" t="s">
        <v>803</v>
      </c>
    </row>
    <row r="10" spans="1:11" hidden="1" x14ac:dyDescent="0.35">
      <c r="A10" s="7">
        <f>ROW()-ROW(BARANGKELUAR!$A$3)</f>
        <v>7</v>
      </c>
      <c r="B10" s="7" t="s">
        <v>813</v>
      </c>
      <c r="C10" s="31">
        <v>45664</v>
      </c>
      <c r="D10" s="7" t="s">
        <v>444</v>
      </c>
      <c r="E10" s="34" t="s">
        <v>445</v>
      </c>
      <c r="F10" s="7" t="s">
        <v>106</v>
      </c>
      <c r="G10" s="7" t="s">
        <v>7</v>
      </c>
      <c r="H10" s="7">
        <v>1</v>
      </c>
      <c r="I10" s="7" t="s">
        <v>814</v>
      </c>
      <c r="J10" s="7" t="s">
        <v>806</v>
      </c>
    </row>
    <row r="11" spans="1:11" hidden="1" x14ac:dyDescent="0.35">
      <c r="A11" s="7">
        <f>ROW()-ROW(BARANGKELUAR!$A$3)</f>
        <v>8</v>
      </c>
      <c r="B11" s="7" t="s">
        <v>815</v>
      </c>
      <c r="C11" s="31">
        <v>45666</v>
      </c>
      <c r="D11" s="7" t="s">
        <v>25</v>
      </c>
      <c r="E11" s="34" t="s">
        <v>50</v>
      </c>
      <c r="F11" s="7" t="s">
        <v>27</v>
      </c>
      <c r="G11" s="7" t="s">
        <v>7</v>
      </c>
      <c r="H11" s="7">
        <v>1</v>
      </c>
      <c r="I11" s="7" t="s">
        <v>811</v>
      </c>
      <c r="J11" s="7" t="s">
        <v>803</v>
      </c>
    </row>
    <row r="12" spans="1:11" hidden="1" x14ac:dyDescent="0.35">
      <c r="A12" s="7">
        <f>ROW()-ROW(BARANGKELUAR!$A$3)</f>
        <v>9</v>
      </c>
      <c r="B12" s="7" t="s">
        <v>816</v>
      </c>
      <c r="C12" s="31">
        <v>45667</v>
      </c>
      <c r="D12" s="7" t="s">
        <v>673</v>
      </c>
      <c r="E12" s="34" t="s">
        <v>674</v>
      </c>
      <c r="F12" s="7" t="s">
        <v>30</v>
      </c>
      <c r="G12" s="7" t="s">
        <v>7</v>
      </c>
      <c r="H12" s="7">
        <v>1</v>
      </c>
      <c r="I12" s="7" t="s">
        <v>817</v>
      </c>
      <c r="J12" s="7" t="s">
        <v>818</v>
      </c>
    </row>
    <row r="13" spans="1:11" hidden="1" x14ac:dyDescent="0.35">
      <c r="A13" s="7">
        <f>ROW()-ROW(BARANGKELUAR!$A$3)</f>
        <v>10</v>
      </c>
      <c r="B13" s="7" t="s">
        <v>819</v>
      </c>
      <c r="C13" s="31">
        <v>45667</v>
      </c>
      <c r="D13" s="7" t="s">
        <v>25</v>
      </c>
      <c r="E13" s="34" t="s">
        <v>50</v>
      </c>
      <c r="F13" s="7" t="s">
        <v>27</v>
      </c>
      <c r="G13" s="7" t="s">
        <v>7</v>
      </c>
      <c r="H13" s="7">
        <v>1</v>
      </c>
      <c r="I13" s="7" t="s">
        <v>820</v>
      </c>
      <c r="J13" s="7" t="s">
        <v>800</v>
      </c>
    </row>
    <row r="14" spans="1:11" hidden="1" x14ac:dyDescent="0.35">
      <c r="A14" s="7">
        <f>ROW()-ROW(BARANGKELUAR!$A$3)</f>
        <v>11</v>
      </c>
      <c r="B14" s="7" t="s">
        <v>821</v>
      </c>
      <c r="C14" s="31">
        <v>45670</v>
      </c>
      <c r="D14" s="7" t="s">
        <v>45</v>
      </c>
      <c r="E14" s="34" t="s">
        <v>46</v>
      </c>
      <c r="F14" s="7" t="s">
        <v>47</v>
      </c>
      <c r="G14" s="7" t="s">
        <v>7</v>
      </c>
      <c r="H14" s="7">
        <v>10</v>
      </c>
      <c r="I14" s="7" t="s">
        <v>822</v>
      </c>
      <c r="J14" s="7" t="s">
        <v>818</v>
      </c>
    </row>
    <row r="15" spans="1:11" hidden="1" x14ac:dyDescent="0.35">
      <c r="A15" s="7">
        <f>ROW()-ROW(BARANGKELUAR!$A$3)</f>
        <v>12</v>
      </c>
      <c r="B15" s="7" t="s">
        <v>823</v>
      </c>
      <c r="C15" s="31">
        <v>45673</v>
      </c>
      <c r="D15" s="7" t="s">
        <v>45</v>
      </c>
      <c r="E15" s="34" t="s">
        <v>46</v>
      </c>
      <c r="F15" s="7" t="s">
        <v>47</v>
      </c>
      <c r="G15" s="7" t="s">
        <v>7</v>
      </c>
      <c r="H15" s="7">
        <v>5</v>
      </c>
      <c r="I15" s="7" t="s">
        <v>799</v>
      </c>
      <c r="J15" s="7" t="s">
        <v>800</v>
      </c>
    </row>
    <row r="16" spans="1:11" hidden="1" x14ac:dyDescent="0.35">
      <c r="A16" s="7">
        <f>ROW()-ROW(BARANGKELUAR!$A$3)</f>
        <v>13</v>
      </c>
      <c r="B16" s="7" t="s">
        <v>836</v>
      </c>
      <c r="C16" s="31">
        <v>45679</v>
      </c>
      <c r="D16" s="7" t="s">
        <v>448</v>
      </c>
      <c r="E16" s="34" t="s">
        <v>449</v>
      </c>
      <c r="F16" s="7" t="s">
        <v>41</v>
      </c>
      <c r="G16" s="7" t="s">
        <v>7</v>
      </c>
      <c r="H16" s="7">
        <v>1</v>
      </c>
      <c r="I16" s="7" t="s">
        <v>837</v>
      </c>
      <c r="J16" s="7" t="s">
        <v>828</v>
      </c>
    </row>
    <row r="17" spans="1:10" hidden="1" x14ac:dyDescent="0.35">
      <c r="A17" s="7">
        <f>ROW()-ROW(BARANGKELUAR!$A$3)</f>
        <v>14</v>
      </c>
      <c r="B17" s="7" t="s">
        <v>824</v>
      </c>
      <c r="C17" s="31">
        <v>45681</v>
      </c>
      <c r="D17" s="7" t="s">
        <v>25</v>
      </c>
      <c r="E17" s="34" t="s">
        <v>50</v>
      </c>
      <c r="F17" s="7" t="s">
        <v>27</v>
      </c>
      <c r="G17" s="7" t="s">
        <v>7</v>
      </c>
      <c r="H17" s="7">
        <v>1</v>
      </c>
      <c r="I17" s="7" t="s">
        <v>820</v>
      </c>
      <c r="J17" s="7" t="s">
        <v>800</v>
      </c>
    </row>
    <row r="18" spans="1:10" hidden="1" x14ac:dyDescent="0.35">
      <c r="A18" s="7">
        <f>ROW()-ROW(BARANGKELUAR!$A$3)</f>
        <v>15</v>
      </c>
      <c r="B18" s="7" t="s">
        <v>825</v>
      </c>
      <c r="C18" s="31">
        <v>45687</v>
      </c>
      <c r="D18" s="7" t="s">
        <v>25</v>
      </c>
      <c r="E18" s="34" t="s">
        <v>50</v>
      </c>
      <c r="F18" s="7" t="s">
        <v>27</v>
      </c>
      <c r="G18" s="7" t="s">
        <v>7</v>
      </c>
      <c r="H18" s="7">
        <v>3</v>
      </c>
      <c r="I18" s="7" t="s">
        <v>822</v>
      </c>
      <c r="J18" s="7" t="s">
        <v>818</v>
      </c>
    </row>
    <row r="19" spans="1:10" hidden="1" x14ac:dyDescent="0.35">
      <c r="A19" s="7">
        <f>ROW()-ROW(BARANGKELUAR!$A$3)</f>
        <v>16</v>
      </c>
      <c r="B19" s="7" t="s">
        <v>826</v>
      </c>
      <c r="C19" s="31">
        <v>45687</v>
      </c>
      <c r="D19" s="7" t="s">
        <v>659</v>
      </c>
      <c r="E19" s="34" t="s">
        <v>660</v>
      </c>
      <c r="F19" s="7" t="s">
        <v>562</v>
      </c>
      <c r="G19" s="7" t="s">
        <v>7</v>
      </c>
      <c r="H19" s="7">
        <v>1</v>
      </c>
      <c r="I19" s="7" t="s">
        <v>827</v>
      </c>
      <c r="J19" s="7" t="s">
        <v>828</v>
      </c>
    </row>
    <row r="20" spans="1:10" hidden="1" x14ac:dyDescent="0.35">
      <c r="A20" s="7">
        <f>ROW()-ROW(BARANGKELUAR!$A$3)</f>
        <v>17</v>
      </c>
      <c r="B20" s="7" t="s">
        <v>829</v>
      </c>
      <c r="C20" s="31">
        <v>45687</v>
      </c>
      <c r="D20" s="7" t="s">
        <v>677</v>
      </c>
      <c r="E20" s="34" t="s">
        <v>678</v>
      </c>
      <c r="F20" s="7" t="s">
        <v>30</v>
      </c>
      <c r="G20" s="7" t="s">
        <v>7</v>
      </c>
      <c r="H20" s="7">
        <v>1</v>
      </c>
      <c r="I20" s="7" t="s">
        <v>827</v>
      </c>
      <c r="J20" s="7" t="s">
        <v>828</v>
      </c>
    </row>
    <row r="21" spans="1:10" hidden="1" x14ac:dyDescent="0.35">
      <c r="A21" s="7">
        <f>ROW()-ROW(BARANGKELUAR!$A$3)</f>
        <v>18</v>
      </c>
      <c r="B21" s="7" t="s">
        <v>830</v>
      </c>
      <c r="C21" s="31">
        <v>45687</v>
      </c>
      <c r="D21" s="7" t="s">
        <v>739</v>
      </c>
      <c r="E21" s="34" t="s">
        <v>740</v>
      </c>
      <c r="F21" s="7" t="s">
        <v>106</v>
      </c>
      <c r="G21" s="7" t="s">
        <v>7</v>
      </c>
      <c r="H21" s="7">
        <v>1</v>
      </c>
      <c r="I21" s="7" t="s">
        <v>827</v>
      </c>
      <c r="J21" s="7" t="s">
        <v>828</v>
      </c>
    </row>
    <row r="22" spans="1:10" hidden="1" x14ac:dyDescent="0.35">
      <c r="A22" s="7">
        <f>ROW()-ROW(BARANGKELUAR!$A$3)</f>
        <v>19</v>
      </c>
      <c r="B22" s="7" t="s">
        <v>831</v>
      </c>
      <c r="C22" s="31">
        <v>45687</v>
      </c>
      <c r="D22" s="7" t="s">
        <v>634</v>
      </c>
      <c r="E22" s="34" t="s">
        <v>635</v>
      </c>
      <c r="F22" s="7" t="s">
        <v>30</v>
      </c>
      <c r="G22" s="7" t="s">
        <v>7</v>
      </c>
      <c r="H22" s="7">
        <v>1</v>
      </c>
      <c r="I22" s="7" t="s">
        <v>827</v>
      </c>
      <c r="J22" s="7" t="s">
        <v>828</v>
      </c>
    </row>
    <row r="23" spans="1:10" hidden="1" x14ac:dyDescent="0.35">
      <c r="A23" s="7">
        <f>ROW()-ROW(BARANGKELUAR!$A$3)</f>
        <v>20</v>
      </c>
      <c r="B23" s="7" t="s">
        <v>832</v>
      </c>
      <c r="C23" s="31">
        <v>45687</v>
      </c>
      <c r="D23" s="7" t="s">
        <v>649</v>
      </c>
      <c r="E23" s="34" t="s">
        <v>650</v>
      </c>
      <c r="F23" s="7" t="s">
        <v>30</v>
      </c>
      <c r="G23" s="7" t="s">
        <v>7</v>
      </c>
      <c r="H23" s="7">
        <v>1</v>
      </c>
      <c r="I23" s="7" t="s">
        <v>827</v>
      </c>
      <c r="J23" s="7" t="s">
        <v>828</v>
      </c>
    </row>
    <row r="24" spans="1:10" hidden="1" x14ac:dyDescent="0.35">
      <c r="A24" s="7">
        <f>ROW()-ROW(BARANGKELUAR!$A$3)</f>
        <v>21</v>
      </c>
      <c r="B24" s="7" t="s">
        <v>833</v>
      </c>
      <c r="C24" s="31">
        <v>45691</v>
      </c>
      <c r="D24" s="7" t="s">
        <v>25</v>
      </c>
      <c r="E24" s="34" t="s">
        <v>50</v>
      </c>
      <c r="F24" s="7" t="s">
        <v>27</v>
      </c>
      <c r="G24" s="7" t="s">
        <v>7</v>
      </c>
      <c r="H24" s="7">
        <v>1</v>
      </c>
      <c r="I24" s="7" t="s">
        <v>834</v>
      </c>
      <c r="J24" s="7" t="s">
        <v>835</v>
      </c>
    </row>
    <row r="25" spans="1:10" hidden="1" x14ac:dyDescent="0.35">
      <c r="A25" s="7">
        <f>ROW()-ROW(BARANGKELUAR!$A$3)</f>
        <v>22</v>
      </c>
      <c r="B25" s="7" t="s">
        <v>838</v>
      </c>
      <c r="C25" s="31">
        <v>45692</v>
      </c>
      <c r="D25" s="7" t="s">
        <v>440</v>
      </c>
      <c r="E25" s="34" t="s">
        <v>441</v>
      </c>
      <c r="F25" s="7" t="s">
        <v>41</v>
      </c>
      <c r="G25" s="7" t="s">
        <v>7</v>
      </c>
      <c r="H25" s="7">
        <v>1</v>
      </c>
      <c r="I25" s="7" t="s">
        <v>811</v>
      </c>
      <c r="J25" s="7" t="s">
        <v>803</v>
      </c>
    </row>
    <row r="26" spans="1:10" hidden="1" x14ac:dyDescent="0.35">
      <c r="A26" s="7">
        <f>ROW()-ROW(BARANGKELUAR!$A$3)</f>
        <v>23</v>
      </c>
      <c r="B26" s="7" t="s">
        <v>839</v>
      </c>
      <c r="C26" s="31">
        <v>45692</v>
      </c>
      <c r="D26" s="7" t="s">
        <v>25</v>
      </c>
      <c r="E26" s="34" t="s">
        <v>50</v>
      </c>
      <c r="F26" s="7" t="s">
        <v>27</v>
      </c>
      <c r="G26" s="7" t="s">
        <v>7</v>
      </c>
      <c r="H26" s="7">
        <v>1</v>
      </c>
      <c r="I26" s="7" t="s">
        <v>812</v>
      </c>
      <c r="J26" s="7" t="s">
        <v>803</v>
      </c>
    </row>
    <row r="27" spans="1:10" hidden="1" x14ac:dyDescent="0.35">
      <c r="A27" s="7">
        <f>ROW()-ROW(BARANGKELUAR!$A$3)</f>
        <v>24</v>
      </c>
      <c r="B27" s="7" t="s">
        <v>840</v>
      </c>
      <c r="C27" s="31">
        <v>45693</v>
      </c>
      <c r="D27" s="7" t="s">
        <v>665</v>
      </c>
      <c r="E27" s="34" t="s">
        <v>666</v>
      </c>
      <c r="F27" s="7" t="s">
        <v>41</v>
      </c>
      <c r="G27" s="7" t="s">
        <v>7</v>
      </c>
      <c r="H27" s="7">
        <v>1</v>
      </c>
      <c r="I27" s="7" t="s">
        <v>802</v>
      </c>
      <c r="J27" s="7" t="s">
        <v>803</v>
      </c>
    </row>
    <row r="28" spans="1:10" hidden="1" x14ac:dyDescent="0.35">
      <c r="A28" s="7">
        <f>ROW()-ROW(BARANGKELUAR!$A$3)</f>
        <v>25</v>
      </c>
      <c r="B28" s="7" t="s">
        <v>998</v>
      </c>
      <c r="C28" s="31">
        <v>45694</v>
      </c>
      <c r="D28" s="7" t="s">
        <v>454</v>
      </c>
      <c r="E28" s="34" t="s">
        <v>455</v>
      </c>
      <c r="F28" s="7" t="s">
        <v>106</v>
      </c>
      <c r="G28" s="7" t="s">
        <v>7</v>
      </c>
      <c r="H28" s="7">
        <v>2</v>
      </c>
      <c r="I28" s="7" t="s">
        <v>888</v>
      </c>
      <c r="J28" s="7" t="s">
        <v>800</v>
      </c>
    </row>
    <row r="29" spans="1:10" hidden="1" x14ac:dyDescent="0.35">
      <c r="A29" s="7">
        <f>ROW()-ROW(BARANGKELUAR!$A$3)</f>
        <v>26</v>
      </c>
      <c r="B29" s="7" t="s">
        <v>842</v>
      </c>
      <c r="C29" s="31">
        <v>45698</v>
      </c>
      <c r="D29" s="7" t="s">
        <v>25</v>
      </c>
      <c r="E29" s="34" t="s">
        <v>50</v>
      </c>
      <c r="F29" s="7" t="s">
        <v>27</v>
      </c>
      <c r="G29" s="7" t="s">
        <v>7</v>
      </c>
      <c r="H29" s="7">
        <v>1</v>
      </c>
      <c r="I29" s="7" t="s">
        <v>817</v>
      </c>
      <c r="J29" s="7" t="s">
        <v>818</v>
      </c>
    </row>
    <row r="30" spans="1:10" hidden="1" x14ac:dyDescent="0.35">
      <c r="A30" s="7">
        <f>ROW()-ROW(BARANGKELUAR!$A$3)</f>
        <v>27</v>
      </c>
      <c r="B30" s="7" t="s">
        <v>843</v>
      </c>
      <c r="C30" s="31">
        <v>45698</v>
      </c>
      <c r="D30" s="7" t="s">
        <v>25</v>
      </c>
      <c r="E30" s="34" t="s">
        <v>50</v>
      </c>
      <c r="F30" s="7" t="s">
        <v>27</v>
      </c>
      <c r="G30" s="7" t="s">
        <v>7</v>
      </c>
      <c r="H30" s="7">
        <v>1</v>
      </c>
      <c r="I30" s="7" t="s">
        <v>799</v>
      </c>
      <c r="J30" s="7" t="s">
        <v>800</v>
      </c>
    </row>
    <row r="31" spans="1:10" hidden="1" x14ac:dyDescent="0.35">
      <c r="A31" s="7">
        <f>ROW()-ROW(BARANGKELUAR!$A$3)</f>
        <v>28</v>
      </c>
      <c r="B31" s="7" t="s">
        <v>845</v>
      </c>
      <c r="C31" s="31">
        <v>45700</v>
      </c>
      <c r="D31" s="7" t="s">
        <v>25</v>
      </c>
      <c r="E31" s="34" t="s">
        <v>50</v>
      </c>
      <c r="F31" s="7" t="s">
        <v>27</v>
      </c>
      <c r="G31" s="7" t="s">
        <v>7</v>
      </c>
      <c r="H31" s="7">
        <v>1</v>
      </c>
      <c r="I31" s="7" t="s">
        <v>827</v>
      </c>
      <c r="J31" s="7" t="s">
        <v>828</v>
      </c>
    </row>
    <row r="32" spans="1:10" hidden="1" x14ac:dyDescent="0.35">
      <c r="A32" s="7">
        <f>ROW()-ROW(BARANGKELUAR!$A$3)</f>
        <v>29</v>
      </c>
      <c r="B32" s="7" t="s">
        <v>846</v>
      </c>
      <c r="C32" s="31">
        <v>45700</v>
      </c>
      <c r="D32" s="7" t="s">
        <v>626</v>
      </c>
      <c r="E32" s="34" t="s">
        <v>627</v>
      </c>
      <c r="F32" s="7" t="s">
        <v>30</v>
      </c>
      <c r="G32" s="7" t="s">
        <v>7</v>
      </c>
      <c r="H32" s="7">
        <v>1</v>
      </c>
      <c r="I32" s="7" t="s">
        <v>837</v>
      </c>
      <c r="J32" s="7" t="s">
        <v>828</v>
      </c>
    </row>
    <row r="33" spans="1:10" hidden="1" x14ac:dyDescent="0.35">
      <c r="A33" s="7">
        <f>ROW()-ROW(BARANGKELUAR!$A$3)</f>
        <v>30</v>
      </c>
      <c r="B33" s="7" t="s">
        <v>847</v>
      </c>
      <c r="C33" s="31">
        <v>45700</v>
      </c>
      <c r="D33" s="7" t="s">
        <v>351</v>
      </c>
      <c r="E33" s="34" t="s">
        <v>352</v>
      </c>
      <c r="F33" s="7" t="s">
        <v>30</v>
      </c>
      <c r="G33" s="7" t="s">
        <v>7</v>
      </c>
      <c r="H33" s="7">
        <v>1</v>
      </c>
      <c r="I33" s="7" t="s">
        <v>837</v>
      </c>
      <c r="J33" s="7" t="s">
        <v>828</v>
      </c>
    </row>
    <row r="34" spans="1:10" hidden="1" x14ac:dyDescent="0.35">
      <c r="A34" s="7">
        <f>ROW()-ROW(BARANGKELUAR!$A$3)</f>
        <v>31</v>
      </c>
      <c r="B34" s="7" t="s">
        <v>881</v>
      </c>
      <c r="C34" s="31">
        <v>45702</v>
      </c>
      <c r="D34" s="7" t="s">
        <v>45</v>
      </c>
      <c r="E34" s="34" t="s">
        <v>46</v>
      </c>
      <c r="F34" s="7" t="s">
        <v>47</v>
      </c>
      <c r="G34" s="7" t="s">
        <v>7</v>
      </c>
      <c r="H34" s="7">
        <v>5</v>
      </c>
      <c r="I34" s="7" t="s">
        <v>822</v>
      </c>
      <c r="J34" s="7" t="s">
        <v>818</v>
      </c>
    </row>
    <row r="35" spans="1:10" hidden="1" x14ac:dyDescent="0.35">
      <c r="A35" s="7">
        <f>ROW()-ROW(BARANGKELUAR!$A$3)</f>
        <v>32</v>
      </c>
      <c r="B35" s="7" t="s">
        <v>1030</v>
      </c>
      <c r="C35" s="31">
        <v>45702</v>
      </c>
      <c r="D35" s="7" t="s">
        <v>1027</v>
      </c>
      <c r="E35" s="34" t="s">
        <v>1028</v>
      </c>
      <c r="F35" s="7" t="s">
        <v>47</v>
      </c>
      <c r="G35" s="7" t="s">
        <v>7</v>
      </c>
      <c r="H35" s="7">
        <v>5</v>
      </c>
      <c r="I35" s="7" t="s">
        <v>888</v>
      </c>
      <c r="J35" s="7" t="s">
        <v>800</v>
      </c>
    </row>
    <row r="36" spans="1:10" hidden="1" x14ac:dyDescent="0.35">
      <c r="A36" s="7">
        <f>ROW()-ROW(BARANGKELUAR!$A$3)</f>
        <v>33</v>
      </c>
      <c r="B36" s="7" t="s">
        <v>882</v>
      </c>
      <c r="C36" s="31">
        <v>45705</v>
      </c>
      <c r="D36" s="7" t="s">
        <v>45</v>
      </c>
      <c r="E36" s="34" t="s">
        <v>46</v>
      </c>
      <c r="F36" s="7" t="s">
        <v>47</v>
      </c>
      <c r="G36" s="7" t="s">
        <v>7</v>
      </c>
      <c r="H36" s="7">
        <v>10</v>
      </c>
      <c r="I36" s="7" t="s">
        <v>883</v>
      </c>
      <c r="J36" s="7" t="s">
        <v>806</v>
      </c>
    </row>
    <row r="37" spans="1:10" hidden="1" x14ac:dyDescent="0.35">
      <c r="A37" s="7">
        <f>ROW()-ROW(BARANGKELUAR!$A$3)</f>
        <v>34</v>
      </c>
      <c r="B37" s="7" t="s">
        <v>1019</v>
      </c>
      <c r="C37" s="31">
        <v>45706</v>
      </c>
      <c r="D37" s="7" t="s">
        <v>539</v>
      </c>
      <c r="E37" s="34" t="s">
        <v>540</v>
      </c>
      <c r="F37" s="7" t="s">
        <v>304</v>
      </c>
      <c r="G37" s="7" t="s">
        <v>7</v>
      </c>
      <c r="H37" s="7">
        <v>3</v>
      </c>
      <c r="I37" s="7" t="s">
        <v>888</v>
      </c>
      <c r="J37" s="7" t="s">
        <v>800</v>
      </c>
    </row>
    <row r="38" spans="1:10" hidden="1" x14ac:dyDescent="0.35">
      <c r="A38" s="7">
        <f>ROW()-ROW(BARANGKELUAR!$A$3)</f>
        <v>35</v>
      </c>
      <c r="B38" s="7" t="s">
        <v>1020</v>
      </c>
      <c r="C38" s="31">
        <v>45706</v>
      </c>
      <c r="D38" s="7" t="s">
        <v>25</v>
      </c>
      <c r="E38" s="34" t="s">
        <v>50</v>
      </c>
      <c r="F38" s="7" t="s">
        <v>27</v>
      </c>
      <c r="G38" s="7" t="s">
        <v>7</v>
      </c>
      <c r="H38" s="7">
        <v>8</v>
      </c>
      <c r="I38" s="7" t="s">
        <v>888</v>
      </c>
      <c r="J38" s="7" t="s">
        <v>800</v>
      </c>
    </row>
    <row r="39" spans="1:10" hidden="1" x14ac:dyDescent="0.35">
      <c r="A39" s="7">
        <f>ROW()-ROW(BARANGKELUAR!$A$3)</f>
        <v>36</v>
      </c>
      <c r="B39" s="7" t="s">
        <v>1021</v>
      </c>
      <c r="C39" s="31">
        <v>45706</v>
      </c>
      <c r="D39" s="7" t="s">
        <v>1000</v>
      </c>
      <c r="E39" s="34" t="s">
        <v>1001</v>
      </c>
      <c r="F39" s="7" t="s">
        <v>41</v>
      </c>
      <c r="G39" s="7" t="s">
        <v>7</v>
      </c>
      <c r="H39" s="7">
        <v>4</v>
      </c>
      <c r="I39" s="7" t="s">
        <v>888</v>
      </c>
      <c r="J39" s="7" t="s">
        <v>800</v>
      </c>
    </row>
    <row r="40" spans="1:10" hidden="1" x14ac:dyDescent="0.35">
      <c r="A40" s="7">
        <f>ROW()-ROW(BARANGKELUAR!$A$3)</f>
        <v>37</v>
      </c>
      <c r="B40" s="7" t="s">
        <v>1022</v>
      </c>
      <c r="C40" s="31">
        <v>45706</v>
      </c>
      <c r="D40" s="7" t="s">
        <v>653</v>
      </c>
      <c r="E40" s="34" t="s">
        <v>654</v>
      </c>
      <c r="F40" s="7" t="s">
        <v>30</v>
      </c>
      <c r="G40" s="7" t="s">
        <v>7</v>
      </c>
      <c r="H40" s="7">
        <v>2</v>
      </c>
      <c r="I40" s="7" t="s">
        <v>888</v>
      </c>
      <c r="J40" s="7" t="s">
        <v>800</v>
      </c>
    </row>
    <row r="41" spans="1:10" hidden="1" x14ac:dyDescent="0.35">
      <c r="A41" s="7">
        <f>ROW()-ROW(BARANGKELUAR!$A$3)</f>
        <v>38</v>
      </c>
      <c r="B41" s="7" t="s">
        <v>1023</v>
      </c>
      <c r="C41" s="31">
        <v>45706</v>
      </c>
      <c r="D41" s="7" t="s">
        <v>661</v>
      </c>
      <c r="E41" s="34" t="s">
        <v>662</v>
      </c>
      <c r="F41" s="7" t="s">
        <v>562</v>
      </c>
      <c r="G41" s="7" t="s">
        <v>7</v>
      </c>
      <c r="H41" s="7">
        <v>2</v>
      </c>
      <c r="I41" s="7" t="s">
        <v>888</v>
      </c>
      <c r="J41" s="7" t="s">
        <v>800</v>
      </c>
    </row>
    <row r="42" spans="1:10" hidden="1" x14ac:dyDescent="0.35">
      <c r="A42" s="7">
        <f>ROW()-ROW(BARANGKELUAR!$A$3)</f>
        <v>39</v>
      </c>
      <c r="B42" s="7" t="s">
        <v>1024</v>
      </c>
      <c r="C42" s="31">
        <v>45706</v>
      </c>
      <c r="D42" s="7" t="s">
        <v>128</v>
      </c>
      <c r="E42" s="34" t="s">
        <v>129</v>
      </c>
      <c r="F42" s="7" t="s">
        <v>30</v>
      </c>
      <c r="G42" s="7" t="s">
        <v>7</v>
      </c>
      <c r="H42" s="7">
        <v>2</v>
      </c>
      <c r="I42" s="7" t="s">
        <v>888</v>
      </c>
      <c r="J42" s="7" t="s">
        <v>800</v>
      </c>
    </row>
    <row r="43" spans="1:10" hidden="1" x14ac:dyDescent="0.35">
      <c r="A43" s="7">
        <f>ROW()-ROW(BARANGKELUAR!$A$3)</f>
        <v>40</v>
      </c>
      <c r="B43" s="7" t="s">
        <v>1025</v>
      </c>
      <c r="C43" s="31">
        <v>45706</v>
      </c>
      <c r="D43" s="7" t="s">
        <v>760</v>
      </c>
      <c r="E43" s="34" t="s">
        <v>759</v>
      </c>
      <c r="F43" s="7" t="s">
        <v>562</v>
      </c>
      <c r="G43" s="7" t="s">
        <v>7</v>
      </c>
      <c r="H43" s="7">
        <v>2</v>
      </c>
      <c r="I43" s="7" t="s">
        <v>888</v>
      </c>
      <c r="J43" s="7" t="s">
        <v>800</v>
      </c>
    </row>
    <row r="44" spans="1:10" hidden="1" x14ac:dyDescent="0.35">
      <c r="A44" s="7">
        <f>ROW()-ROW(BARANGKELUAR!$A$3)</f>
        <v>41</v>
      </c>
      <c r="B44" s="7" t="s">
        <v>1026</v>
      </c>
      <c r="C44" s="31">
        <v>45706</v>
      </c>
      <c r="D44" s="7" t="s">
        <v>337</v>
      </c>
      <c r="E44" s="34" t="s">
        <v>338</v>
      </c>
      <c r="F44" s="7" t="s">
        <v>30</v>
      </c>
      <c r="G44" s="7" t="s">
        <v>7</v>
      </c>
      <c r="H44" s="7">
        <v>1</v>
      </c>
      <c r="I44" s="7" t="s">
        <v>888</v>
      </c>
      <c r="J44" s="7" t="s">
        <v>800</v>
      </c>
    </row>
    <row r="45" spans="1:10" hidden="1" x14ac:dyDescent="0.35">
      <c r="A45" s="7">
        <f>ROW()-ROW(BARANGKELUAR!$A$3)</f>
        <v>42</v>
      </c>
      <c r="B45" s="7" t="s">
        <v>884</v>
      </c>
      <c r="C45" s="31">
        <v>45708</v>
      </c>
      <c r="D45" s="7" t="s">
        <v>25</v>
      </c>
      <c r="E45" s="34" t="s">
        <v>50</v>
      </c>
      <c r="F45" s="7" t="s">
        <v>27</v>
      </c>
      <c r="G45" s="7" t="s">
        <v>7</v>
      </c>
      <c r="H45" s="7">
        <v>1</v>
      </c>
      <c r="I45" s="7" t="s">
        <v>820</v>
      </c>
      <c r="J45" s="7" t="s">
        <v>800</v>
      </c>
    </row>
    <row r="46" spans="1:10" hidden="1" x14ac:dyDescent="0.35">
      <c r="A46" s="7">
        <f>ROW()-ROW(BARANGKELUAR!$A$3)</f>
        <v>43</v>
      </c>
      <c r="B46" s="7" t="s">
        <v>885</v>
      </c>
      <c r="C46" s="31">
        <v>45709</v>
      </c>
      <c r="D46" s="7" t="s">
        <v>673</v>
      </c>
      <c r="E46" s="34" t="s">
        <v>674</v>
      </c>
      <c r="F46" s="7" t="s">
        <v>30</v>
      </c>
      <c r="G46" s="7" t="s">
        <v>7</v>
      </c>
      <c r="H46" s="7">
        <v>1</v>
      </c>
      <c r="I46" s="7" t="s">
        <v>883</v>
      </c>
      <c r="J46" s="7" t="s">
        <v>806</v>
      </c>
    </row>
    <row r="47" spans="1:10" hidden="1" x14ac:dyDescent="0.35">
      <c r="A47" s="7">
        <f>ROW()-ROW(BARANGKELUAR!$A$3)</f>
        <v>44</v>
      </c>
      <c r="B47" s="7" t="s">
        <v>886</v>
      </c>
      <c r="C47" s="31">
        <v>45709</v>
      </c>
      <c r="D47" s="7" t="s">
        <v>641</v>
      </c>
      <c r="E47" s="34" t="s">
        <v>642</v>
      </c>
      <c r="F47" s="7" t="s">
        <v>562</v>
      </c>
      <c r="G47" s="7" t="s">
        <v>7</v>
      </c>
      <c r="H47" s="7">
        <v>1</v>
      </c>
      <c r="I47" s="7" t="s">
        <v>883</v>
      </c>
      <c r="J47" s="7" t="s">
        <v>806</v>
      </c>
    </row>
    <row r="48" spans="1:10" hidden="1" x14ac:dyDescent="0.35">
      <c r="A48" s="7">
        <f>ROW()-ROW(BARANGKELUAR!$A$3)</f>
        <v>45</v>
      </c>
      <c r="B48" s="7" t="s">
        <v>887</v>
      </c>
      <c r="C48" s="31">
        <v>45712</v>
      </c>
      <c r="D48" s="7" t="s">
        <v>308</v>
      </c>
      <c r="E48" s="34" t="s">
        <v>309</v>
      </c>
      <c r="F48" s="7" t="s">
        <v>35</v>
      </c>
      <c r="G48" s="7" t="s">
        <v>7</v>
      </c>
      <c r="H48" s="7">
        <v>1</v>
      </c>
      <c r="I48" s="7" t="s">
        <v>888</v>
      </c>
      <c r="J48" s="7" t="s">
        <v>800</v>
      </c>
    </row>
    <row r="49" spans="1:10" hidden="1" x14ac:dyDescent="0.35">
      <c r="A49" s="7">
        <f>ROW()-ROW(BARANGKELUAR!$A$3)</f>
        <v>46</v>
      </c>
      <c r="B49" s="7" t="s">
        <v>1007</v>
      </c>
      <c r="C49" s="31">
        <v>45712</v>
      </c>
      <c r="D49" s="7" t="s">
        <v>25</v>
      </c>
      <c r="E49" s="34" t="s">
        <v>50</v>
      </c>
      <c r="F49" s="7" t="s">
        <v>27</v>
      </c>
      <c r="G49" s="7" t="s">
        <v>7</v>
      </c>
      <c r="H49" s="7">
        <v>7</v>
      </c>
      <c r="I49" s="7" t="s">
        <v>888</v>
      </c>
      <c r="J49" s="7" t="s">
        <v>800</v>
      </c>
    </row>
    <row r="50" spans="1:10" hidden="1" x14ac:dyDescent="0.35">
      <c r="A50" s="7">
        <f>ROW()-ROW(BARANGKELUAR!$A$3)</f>
        <v>47</v>
      </c>
      <c r="B50" s="7" t="s">
        <v>1008</v>
      </c>
      <c r="C50" s="31">
        <v>45712</v>
      </c>
      <c r="D50" s="7" t="s">
        <v>148</v>
      </c>
      <c r="E50" s="34" t="s">
        <v>149</v>
      </c>
      <c r="F50" s="7" t="s">
        <v>41</v>
      </c>
      <c r="G50" s="7" t="s">
        <v>7</v>
      </c>
      <c r="H50" s="7">
        <v>2</v>
      </c>
      <c r="I50" s="7" t="s">
        <v>888</v>
      </c>
      <c r="J50" s="7" t="s">
        <v>800</v>
      </c>
    </row>
    <row r="51" spans="1:10" hidden="1" x14ac:dyDescent="0.35">
      <c r="A51" s="7">
        <f>ROW()-ROW(BARANGKELUAR!$A$3)</f>
        <v>48</v>
      </c>
      <c r="B51" s="7" t="s">
        <v>1009</v>
      </c>
      <c r="C51" s="31">
        <v>45712</v>
      </c>
      <c r="D51" s="7" t="s">
        <v>1000</v>
      </c>
      <c r="E51" s="34" t="s">
        <v>1001</v>
      </c>
      <c r="F51" s="7" t="s">
        <v>41</v>
      </c>
      <c r="G51" s="7" t="s">
        <v>7</v>
      </c>
      <c r="H51" s="7">
        <v>6</v>
      </c>
      <c r="I51" s="7" t="s">
        <v>888</v>
      </c>
      <c r="J51" s="7" t="s">
        <v>800</v>
      </c>
    </row>
    <row r="52" spans="1:10" hidden="1" x14ac:dyDescent="0.35">
      <c r="A52" s="7">
        <f>ROW()-ROW(BARANGKELUAR!$A$3)</f>
        <v>49</v>
      </c>
      <c r="B52" s="7" t="s">
        <v>1010</v>
      </c>
      <c r="C52" s="31">
        <v>45712</v>
      </c>
      <c r="D52" s="7" t="s">
        <v>1002</v>
      </c>
      <c r="E52" s="34" t="s">
        <v>1003</v>
      </c>
      <c r="F52" s="7" t="s">
        <v>435</v>
      </c>
      <c r="G52" s="7" t="s">
        <v>7</v>
      </c>
      <c r="H52" s="7">
        <v>2</v>
      </c>
      <c r="I52" s="7" t="s">
        <v>888</v>
      </c>
      <c r="J52" s="7" t="s">
        <v>800</v>
      </c>
    </row>
    <row r="53" spans="1:10" hidden="1" x14ac:dyDescent="0.35">
      <c r="A53" s="7">
        <f>ROW()-ROW(BARANGKELUAR!$A$3)</f>
        <v>50</v>
      </c>
      <c r="B53" s="7" t="s">
        <v>889</v>
      </c>
      <c r="C53" s="31">
        <v>45713</v>
      </c>
      <c r="D53" s="7" t="s">
        <v>45</v>
      </c>
      <c r="E53" s="34" t="s">
        <v>46</v>
      </c>
      <c r="F53" s="7" t="s">
        <v>47</v>
      </c>
      <c r="G53" s="7" t="s">
        <v>7</v>
      </c>
      <c r="H53" s="7">
        <v>4</v>
      </c>
      <c r="I53" s="7" t="s">
        <v>805</v>
      </c>
      <c r="J53" s="7" t="s">
        <v>800</v>
      </c>
    </row>
    <row r="54" spans="1:10" hidden="1" x14ac:dyDescent="0.35">
      <c r="A54" s="7">
        <f>ROW()-ROW(BARANGKELUAR!$A$3)</f>
        <v>51</v>
      </c>
      <c r="B54" s="7" t="s">
        <v>890</v>
      </c>
      <c r="C54" s="31">
        <v>45713</v>
      </c>
      <c r="D54" s="7" t="s">
        <v>614</v>
      </c>
      <c r="E54" s="34" t="s">
        <v>615</v>
      </c>
      <c r="F54" s="7" t="s">
        <v>30</v>
      </c>
      <c r="G54" s="7" t="s">
        <v>7</v>
      </c>
      <c r="H54" s="7">
        <v>1</v>
      </c>
      <c r="I54" s="7" t="s">
        <v>827</v>
      </c>
      <c r="J54" s="7" t="s">
        <v>828</v>
      </c>
    </row>
    <row r="55" spans="1:10" hidden="1" x14ac:dyDescent="0.35">
      <c r="A55" s="7">
        <f>ROW()-ROW(BARANGKELUAR!$A$3)</f>
        <v>52</v>
      </c>
      <c r="B55" s="7" t="s">
        <v>892</v>
      </c>
      <c r="C55" s="31">
        <v>45719</v>
      </c>
      <c r="D55" s="7" t="s">
        <v>45</v>
      </c>
      <c r="E55" s="34" t="s">
        <v>46</v>
      </c>
      <c r="F55" s="7" t="s">
        <v>47</v>
      </c>
      <c r="G55" s="7" t="s">
        <v>7</v>
      </c>
      <c r="H55" s="7">
        <v>5</v>
      </c>
      <c r="I55" s="7" t="s">
        <v>812</v>
      </c>
      <c r="J55" s="7" t="s">
        <v>803</v>
      </c>
    </row>
    <row r="56" spans="1:10" hidden="1" x14ac:dyDescent="0.35">
      <c r="A56" s="7">
        <f>ROW()-ROW(BARANGKELUAR!$A$3)</f>
        <v>53</v>
      </c>
      <c r="B56" s="7" t="s">
        <v>893</v>
      </c>
      <c r="C56" s="31">
        <v>45720</v>
      </c>
      <c r="D56" s="7" t="s">
        <v>54</v>
      </c>
      <c r="E56" s="34" t="s">
        <v>55</v>
      </c>
      <c r="F56" s="7" t="s">
        <v>35</v>
      </c>
      <c r="G56" s="7" t="s">
        <v>7</v>
      </c>
      <c r="H56" s="7">
        <v>1</v>
      </c>
      <c r="I56" s="7" t="s">
        <v>834</v>
      </c>
      <c r="J56" s="7" t="s">
        <v>835</v>
      </c>
    </row>
    <row r="57" spans="1:10" hidden="1" x14ac:dyDescent="0.35">
      <c r="A57" s="7">
        <f>ROW()-ROW(BARANGKELUAR!$A$3)</f>
        <v>54</v>
      </c>
      <c r="B57" s="7" t="s">
        <v>894</v>
      </c>
      <c r="C57" s="31">
        <v>45721</v>
      </c>
      <c r="D57" s="7" t="s">
        <v>25</v>
      </c>
      <c r="E57" s="34" t="s">
        <v>50</v>
      </c>
      <c r="F57" s="7" t="s">
        <v>27</v>
      </c>
      <c r="G57" s="7" t="s">
        <v>7</v>
      </c>
      <c r="H57" s="7">
        <v>1</v>
      </c>
      <c r="I57" s="7" t="s">
        <v>811</v>
      </c>
      <c r="J57" s="7" t="s">
        <v>803</v>
      </c>
    </row>
    <row r="58" spans="1:10" hidden="1" x14ac:dyDescent="0.35">
      <c r="A58" s="7">
        <f>ROW()-ROW(BARANGKELUAR!$A$3)</f>
        <v>55</v>
      </c>
      <c r="B58" s="7" t="s">
        <v>895</v>
      </c>
      <c r="C58" s="31">
        <v>45724</v>
      </c>
      <c r="D58" s="7" t="s">
        <v>25</v>
      </c>
      <c r="E58" s="34" t="s">
        <v>50</v>
      </c>
      <c r="F58" s="7" t="s">
        <v>27</v>
      </c>
      <c r="G58" s="7" t="s">
        <v>7</v>
      </c>
      <c r="H58" s="7">
        <v>1</v>
      </c>
      <c r="I58" s="7" t="s">
        <v>891</v>
      </c>
      <c r="J58" s="7" t="s">
        <v>835</v>
      </c>
    </row>
    <row r="59" spans="1:10" hidden="1" x14ac:dyDescent="0.35">
      <c r="A59" s="7">
        <f>ROW()-ROW(BARANGKELUAR!$A$3)</f>
        <v>56</v>
      </c>
      <c r="B59" s="7" t="s">
        <v>896</v>
      </c>
      <c r="C59" s="31">
        <v>45728</v>
      </c>
      <c r="D59" s="7" t="s">
        <v>25</v>
      </c>
      <c r="E59" s="34" t="s">
        <v>50</v>
      </c>
      <c r="F59" s="7" t="s">
        <v>27</v>
      </c>
      <c r="G59" s="7" t="s">
        <v>7</v>
      </c>
      <c r="H59" s="7">
        <v>1</v>
      </c>
      <c r="I59" s="7" t="s">
        <v>820</v>
      </c>
      <c r="J59" s="7" t="s">
        <v>800</v>
      </c>
    </row>
    <row r="60" spans="1:10" hidden="1" x14ac:dyDescent="0.35">
      <c r="A60" s="7">
        <f>ROW()-ROW(BARANGKELUAR!$A$3)</f>
        <v>57</v>
      </c>
      <c r="B60" s="7" t="s">
        <v>897</v>
      </c>
      <c r="C60" s="31">
        <v>45730</v>
      </c>
      <c r="D60" s="7" t="s">
        <v>25</v>
      </c>
      <c r="E60" s="34" t="s">
        <v>50</v>
      </c>
      <c r="F60" s="7" t="s">
        <v>27</v>
      </c>
      <c r="G60" s="7" t="s">
        <v>7</v>
      </c>
      <c r="H60" s="7">
        <v>1</v>
      </c>
      <c r="I60" s="7" t="s">
        <v>827</v>
      </c>
      <c r="J60" s="7" t="s">
        <v>828</v>
      </c>
    </row>
    <row r="61" spans="1:10" hidden="1" x14ac:dyDescent="0.35">
      <c r="A61" s="7">
        <f>ROW()-ROW(BARANGKELUAR!$A$3)</f>
        <v>58</v>
      </c>
      <c r="B61" s="7" t="s">
        <v>898</v>
      </c>
      <c r="C61" s="31">
        <v>45734</v>
      </c>
      <c r="D61" s="7" t="s">
        <v>454</v>
      </c>
      <c r="E61" s="34" t="s">
        <v>455</v>
      </c>
      <c r="F61" s="7" t="s">
        <v>106</v>
      </c>
      <c r="G61" s="7" t="s">
        <v>7</v>
      </c>
      <c r="H61" s="7">
        <v>1</v>
      </c>
      <c r="I61" s="7" t="s">
        <v>805</v>
      </c>
      <c r="J61" s="7" t="s">
        <v>806</v>
      </c>
    </row>
    <row r="62" spans="1:10" hidden="1" x14ac:dyDescent="0.35">
      <c r="A62" s="7">
        <f>ROW()-ROW(BARANGKELUAR!$A$3)</f>
        <v>59</v>
      </c>
      <c r="B62" s="7" t="s">
        <v>899</v>
      </c>
      <c r="C62" s="31">
        <v>45735</v>
      </c>
      <c r="D62" s="7" t="s">
        <v>25</v>
      </c>
      <c r="E62" s="34" t="s">
        <v>50</v>
      </c>
      <c r="F62" s="7" t="s">
        <v>27</v>
      </c>
      <c r="G62" s="7" t="s">
        <v>7</v>
      </c>
      <c r="H62" s="7">
        <v>1</v>
      </c>
      <c r="I62" s="7" t="s">
        <v>900</v>
      </c>
      <c r="J62" s="7" t="s">
        <v>800</v>
      </c>
    </row>
    <row r="63" spans="1:10" hidden="1" x14ac:dyDescent="0.35">
      <c r="A63" s="7">
        <f>ROW()-ROW(BARANGKELUAR!$A$3)</f>
        <v>60</v>
      </c>
      <c r="B63" s="7" t="s">
        <v>901</v>
      </c>
      <c r="C63" s="31">
        <v>45735</v>
      </c>
      <c r="D63" s="7" t="s">
        <v>25</v>
      </c>
      <c r="E63" s="34" t="s">
        <v>50</v>
      </c>
      <c r="F63" s="7" t="s">
        <v>27</v>
      </c>
      <c r="G63" s="7" t="s">
        <v>7</v>
      </c>
      <c r="H63" s="7">
        <v>1</v>
      </c>
      <c r="I63" s="7" t="s">
        <v>900</v>
      </c>
      <c r="J63" s="7" t="s">
        <v>800</v>
      </c>
    </row>
    <row r="64" spans="1:10" hidden="1" x14ac:dyDescent="0.35">
      <c r="A64" s="7">
        <f>ROW()-ROW(BARANGKELUAR!$A$3)</f>
        <v>61</v>
      </c>
      <c r="B64" s="7" t="s">
        <v>1034</v>
      </c>
      <c r="C64" s="31">
        <v>45740</v>
      </c>
      <c r="D64" s="7" t="s">
        <v>410</v>
      </c>
      <c r="E64" s="34" t="s">
        <v>411</v>
      </c>
      <c r="F64" s="7" t="s">
        <v>30</v>
      </c>
      <c r="G64" s="7" t="s">
        <v>7</v>
      </c>
      <c r="H64" s="7">
        <v>1</v>
      </c>
      <c r="I64" s="7" t="s">
        <v>805</v>
      </c>
      <c r="J64" s="7" t="s">
        <v>806</v>
      </c>
    </row>
    <row r="65" spans="1:10" hidden="1" x14ac:dyDescent="0.35">
      <c r="A65" s="7">
        <f>ROW()-ROW(BARANGKELUAR!$A$3)</f>
        <v>62</v>
      </c>
      <c r="B65" s="7" t="s">
        <v>903</v>
      </c>
      <c r="C65" s="31">
        <v>45758</v>
      </c>
      <c r="D65" s="7" t="s">
        <v>25</v>
      </c>
      <c r="E65" s="34" t="s">
        <v>50</v>
      </c>
      <c r="F65" s="7" t="s">
        <v>27</v>
      </c>
      <c r="G65" s="7" t="s">
        <v>7</v>
      </c>
      <c r="H65" s="7">
        <v>1</v>
      </c>
      <c r="I65" s="7" t="s">
        <v>820</v>
      </c>
      <c r="J65" s="7" t="s">
        <v>800</v>
      </c>
    </row>
    <row r="66" spans="1:10" hidden="1" x14ac:dyDescent="0.35">
      <c r="A66" s="7">
        <f>ROW()-ROW(BARANGKELUAR!$A$3)</f>
        <v>63</v>
      </c>
      <c r="B66" s="7" t="s">
        <v>904</v>
      </c>
      <c r="C66" s="31">
        <v>45763</v>
      </c>
      <c r="D66" s="7" t="s">
        <v>25</v>
      </c>
      <c r="E66" s="34" t="s">
        <v>50</v>
      </c>
      <c r="F66" s="7" t="s">
        <v>27</v>
      </c>
      <c r="G66" s="7" t="s">
        <v>7</v>
      </c>
      <c r="H66" s="7">
        <v>1</v>
      </c>
      <c r="I66" s="7" t="s">
        <v>805</v>
      </c>
      <c r="J66" s="7" t="s">
        <v>806</v>
      </c>
    </row>
    <row r="67" spans="1:10" hidden="1" x14ac:dyDescent="0.35">
      <c r="A67" s="7">
        <f>ROW()-ROW(BARANGKELUAR!$A$3)</f>
        <v>64</v>
      </c>
      <c r="B67" s="7" t="s">
        <v>905</v>
      </c>
      <c r="C67" s="31">
        <v>45763</v>
      </c>
      <c r="D67" s="7" t="s">
        <v>45</v>
      </c>
      <c r="E67" s="34" t="s">
        <v>46</v>
      </c>
      <c r="F67" s="7" t="s">
        <v>47</v>
      </c>
      <c r="G67" s="7" t="s">
        <v>7</v>
      </c>
      <c r="H67" s="7">
        <v>5</v>
      </c>
      <c r="I67" s="7" t="s">
        <v>802</v>
      </c>
      <c r="J67" s="7" t="s">
        <v>803</v>
      </c>
    </row>
    <row r="68" spans="1:10" hidden="1" x14ac:dyDescent="0.35">
      <c r="A68" s="7">
        <f>ROW()-ROW(BARANGKELUAR!$A$3)</f>
        <v>65</v>
      </c>
      <c r="B68" s="7" t="s">
        <v>902</v>
      </c>
      <c r="C68" s="31">
        <v>45766</v>
      </c>
      <c r="D68" s="7" t="s">
        <v>25</v>
      </c>
      <c r="E68" s="34" t="s">
        <v>50</v>
      </c>
      <c r="F68" s="7" t="s">
        <v>27</v>
      </c>
      <c r="G68" s="7" t="s">
        <v>7</v>
      </c>
      <c r="H68" s="7">
        <v>1</v>
      </c>
      <c r="I68" s="7" t="s">
        <v>827</v>
      </c>
      <c r="J68" s="7" t="s">
        <v>828</v>
      </c>
    </row>
    <row r="69" spans="1:10" hidden="1" x14ac:dyDescent="0.35">
      <c r="A69" s="7">
        <f>ROW()-ROW(BARANGKELUAR!$A$3)</f>
        <v>66</v>
      </c>
      <c r="B69" s="7" t="s">
        <v>906</v>
      </c>
      <c r="C69" s="31">
        <v>45770</v>
      </c>
      <c r="D69" s="7" t="s">
        <v>45</v>
      </c>
      <c r="E69" s="34" t="s">
        <v>46</v>
      </c>
      <c r="F69" s="7" t="s">
        <v>47</v>
      </c>
      <c r="G69" s="7" t="s">
        <v>7</v>
      </c>
      <c r="H69" s="7">
        <v>18</v>
      </c>
      <c r="I69" s="7" t="s">
        <v>837</v>
      </c>
      <c r="J69" s="7" t="s">
        <v>828</v>
      </c>
    </row>
    <row r="70" spans="1:10" hidden="1" x14ac:dyDescent="0.35">
      <c r="A70" s="7">
        <f>ROW()-ROW(BARANGKELUAR!$A$3)</f>
        <v>67</v>
      </c>
      <c r="B70" s="7" t="s">
        <v>907</v>
      </c>
      <c r="C70" s="31">
        <v>45770</v>
      </c>
      <c r="D70" s="7" t="s">
        <v>634</v>
      </c>
      <c r="E70" s="34" t="s">
        <v>635</v>
      </c>
      <c r="F70" s="7" t="s">
        <v>30</v>
      </c>
      <c r="G70" s="7" t="s">
        <v>7</v>
      </c>
      <c r="H70" s="7">
        <v>1</v>
      </c>
      <c r="I70" s="7" t="s">
        <v>811</v>
      </c>
      <c r="J70" s="7" t="s">
        <v>803</v>
      </c>
    </row>
    <row r="71" spans="1:10" hidden="1" x14ac:dyDescent="0.35">
      <c r="A71" s="7">
        <f>ROW()-ROW(BARANGKELUAR!$A$3)</f>
        <v>68</v>
      </c>
      <c r="B71" s="7" t="s">
        <v>1036</v>
      </c>
      <c r="C71" s="31">
        <v>45770</v>
      </c>
      <c r="D71" s="7" t="s">
        <v>25</v>
      </c>
      <c r="E71" s="34" t="s">
        <v>50</v>
      </c>
      <c r="F71" s="7" t="s">
        <v>27</v>
      </c>
      <c r="G71" s="7" t="s">
        <v>7</v>
      </c>
      <c r="H71" s="7">
        <v>5</v>
      </c>
      <c r="I71" s="7" t="s">
        <v>888</v>
      </c>
      <c r="J71" s="7" t="s">
        <v>800</v>
      </c>
    </row>
    <row r="72" spans="1:10" hidden="1" x14ac:dyDescent="0.35">
      <c r="A72" s="7">
        <f>ROW()-ROW(BARANGKELUAR!$A$3)</f>
        <v>69</v>
      </c>
      <c r="B72" s="7" t="s">
        <v>914</v>
      </c>
      <c r="C72" s="31">
        <v>45772</v>
      </c>
      <c r="D72" s="7" t="s">
        <v>25</v>
      </c>
      <c r="E72" s="34" t="s">
        <v>50</v>
      </c>
      <c r="F72" s="7" t="s">
        <v>27</v>
      </c>
      <c r="G72" s="7" t="s">
        <v>7</v>
      </c>
      <c r="H72" s="7">
        <v>1</v>
      </c>
      <c r="I72" s="7" t="s">
        <v>883</v>
      </c>
      <c r="J72" s="7" t="s">
        <v>806</v>
      </c>
    </row>
    <row r="73" spans="1:10" hidden="1" x14ac:dyDescent="0.35">
      <c r="A73" s="7">
        <f>ROW()-ROW(BARANGKELUAR!$A$3)</f>
        <v>70</v>
      </c>
      <c r="B73" s="7" t="s">
        <v>915</v>
      </c>
      <c r="C73" s="31">
        <v>45772</v>
      </c>
      <c r="D73" s="7" t="s">
        <v>634</v>
      </c>
      <c r="E73" s="34" t="s">
        <v>635</v>
      </c>
      <c r="F73" s="7" t="s">
        <v>30</v>
      </c>
      <c r="G73" s="7" t="s">
        <v>7</v>
      </c>
      <c r="H73" s="7">
        <v>1</v>
      </c>
      <c r="I73" s="7" t="s">
        <v>805</v>
      </c>
      <c r="J73" s="7" t="s">
        <v>806</v>
      </c>
    </row>
    <row r="74" spans="1:10" hidden="1" x14ac:dyDescent="0.35">
      <c r="A74" s="7">
        <f>ROW()-ROW(BARANGKELUAR!$A$3)</f>
        <v>71</v>
      </c>
      <c r="B74" s="7" t="s">
        <v>916</v>
      </c>
      <c r="C74" s="31">
        <v>45772</v>
      </c>
      <c r="D74" s="7" t="s">
        <v>454</v>
      </c>
      <c r="E74" s="34" t="s">
        <v>455</v>
      </c>
      <c r="F74" s="7" t="s">
        <v>106</v>
      </c>
      <c r="G74" s="7" t="s">
        <v>7</v>
      </c>
      <c r="H74" s="7">
        <v>1</v>
      </c>
      <c r="I74" s="7" t="s">
        <v>805</v>
      </c>
      <c r="J74" s="7" t="s">
        <v>806</v>
      </c>
    </row>
    <row r="75" spans="1:10" hidden="1" x14ac:dyDescent="0.35">
      <c r="A75" s="7">
        <f>ROW()-ROW(BARANGKELUAR!$A$3)</f>
        <v>72</v>
      </c>
      <c r="B75" s="7" t="s">
        <v>917</v>
      </c>
      <c r="C75" s="31">
        <v>45772</v>
      </c>
      <c r="D75" s="7" t="s">
        <v>500</v>
      </c>
      <c r="E75" s="34" t="s">
        <v>501</v>
      </c>
      <c r="F75" s="7" t="s">
        <v>30</v>
      </c>
      <c r="G75" s="7" t="s">
        <v>7</v>
      </c>
      <c r="H75" s="7">
        <v>1</v>
      </c>
      <c r="I75" s="7" t="s">
        <v>805</v>
      </c>
      <c r="J75" s="7" t="s">
        <v>806</v>
      </c>
    </row>
    <row r="76" spans="1:10" hidden="1" x14ac:dyDescent="0.35">
      <c r="A76" s="7">
        <f>ROW()-ROW(BARANGKELUAR!$A$3)</f>
        <v>73</v>
      </c>
      <c r="B76" s="7" t="s">
        <v>918</v>
      </c>
      <c r="C76" s="31">
        <v>45772</v>
      </c>
      <c r="D76" s="7" t="s">
        <v>119</v>
      </c>
      <c r="E76" s="34" t="s">
        <v>120</v>
      </c>
      <c r="F76" s="7" t="s">
        <v>521</v>
      </c>
      <c r="G76" s="7" t="s">
        <v>7</v>
      </c>
      <c r="H76" s="7">
        <v>1</v>
      </c>
      <c r="I76" s="7" t="s">
        <v>805</v>
      </c>
      <c r="J76" s="7" t="s">
        <v>806</v>
      </c>
    </row>
    <row r="77" spans="1:10" hidden="1" x14ac:dyDescent="0.35">
      <c r="A77" s="7">
        <f>ROW()-ROW(BARANGKELUAR!$A$3)</f>
        <v>74</v>
      </c>
      <c r="B77" s="7" t="s">
        <v>919</v>
      </c>
      <c r="C77" s="31">
        <v>45775</v>
      </c>
      <c r="D77" s="7" t="s">
        <v>25</v>
      </c>
      <c r="E77" s="34" t="s">
        <v>50</v>
      </c>
      <c r="F77" s="7" t="s">
        <v>27</v>
      </c>
      <c r="G77" s="7" t="s">
        <v>7</v>
      </c>
      <c r="H77" s="7">
        <v>1</v>
      </c>
      <c r="I77" s="7" t="s">
        <v>820</v>
      </c>
      <c r="J77" s="7" t="s">
        <v>800</v>
      </c>
    </row>
    <row r="78" spans="1:10" hidden="1" x14ac:dyDescent="0.35">
      <c r="A78" s="7">
        <f>ROW()-ROW(BARANGKELUAR!$A$3)</f>
        <v>75</v>
      </c>
      <c r="B78" s="7" t="s">
        <v>920</v>
      </c>
      <c r="C78" s="31">
        <v>45775</v>
      </c>
      <c r="D78" s="7" t="s">
        <v>25</v>
      </c>
      <c r="E78" s="34" t="s">
        <v>50</v>
      </c>
      <c r="F78" s="7" t="s">
        <v>27</v>
      </c>
      <c r="G78" s="7" t="s">
        <v>7</v>
      </c>
      <c r="H78" s="7">
        <v>1</v>
      </c>
      <c r="I78" s="7" t="s">
        <v>837</v>
      </c>
      <c r="J78" s="7" t="s">
        <v>828</v>
      </c>
    </row>
    <row r="79" spans="1:10" hidden="1" x14ac:dyDescent="0.35">
      <c r="A79" s="7">
        <f>ROW()-ROW(BARANGKELUAR!$A$3)</f>
        <v>76</v>
      </c>
      <c r="B79" s="7" t="s">
        <v>1032</v>
      </c>
      <c r="C79" s="31">
        <v>45776</v>
      </c>
      <c r="D79" s="7" t="s">
        <v>25</v>
      </c>
      <c r="E79" s="34" t="s">
        <v>50</v>
      </c>
      <c r="F79" s="7" t="s">
        <v>27</v>
      </c>
      <c r="G79" s="7" t="s">
        <v>7</v>
      </c>
      <c r="H79" s="7">
        <v>5</v>
      </c>
      <c r="I79" s="7" t="s">
        <v>888</v>
      </c>
      <c r="J79" s="7" t="s">
        <v>800</v>
      </c>
    </row>
    <row r="80" spans="1:10" hidden="1" x14ac:dyDescent="0.35">
      <c r="A80" s="7">
        <f>ROW()-ROW(BARANGKELUAR!$A$3)</f>
        <v>77</v>
      </c>
      <c r="B80" s="7" t="s">
        <v>921</v>
      </c>
      <c r="C80" s="31">
        <v>45782</v>
      </c>
      <c r="D80" s="7" t="s">
        <v>25</v>
      </c>
      <c r="E80" s="34" t="s">
        <v>50</v>
      </c>
      <c r="F80" s="7" t="s">
        <v>27</v>
      </c>
      <c r="G80" s="7" t="s">
        <v>7</v>
      </c>
      <c r="H80" s="7">
        <v>1</v>
      </c>
      <c r="I80" s="7" t="s">
        <v>811</v>
      </c>
      <c r="J80" s="7" t="s">
        <v>803</v>
      </c>
    </row>
    <row r="81" spans="1:10" hidden="1" x14ac:dyDescent="0.35">
      <c r="A81" s="7">
        <f>ROW()-ROW(BARANGKELUAR!$A$3)</f>
        <v>78</v>
      </c>
      <c r="B81" s="7" t="s">
        <v>922</v>
      </c>
      <c r="C81" s="31">
        <v>45782</v>
      </c>
      <c r="D81" s="7" t="s">
        <v>25</v>
      </c>
      <c r="E81" s="34" t="s">
        <v>50</v>
      </c>
      <c r="F81" s="7" t="s">
        <v>27</v>
      </c>
      <c r="G81" s="7" t="s">
        <v>7</v>
      </c>
      <c r="H81" s="7">
        <v>1</v>
      </c>
      <c r="I81" s="7" t="s">
        <v>814</v>
      </c>
      <c r="J81" s="7" t="s">
        <v>806</v>
      </c>
    </row>
    <row r="82" spans="1:10" hidden="1" x14ac:dyDescent="0.35">
      <c r="A82" s="7">
        <f>ROW()-ROW(BARANGKELUAR!$A$3)</f>
        <v>79</v>
      </c>
      <c r="B82" s="7" t="s">
        <v>978</v>
      </c>
      <c r="C82" s="31">
        <v>45784</v>
      </c>
      <c r="D82" s="7" t="s">
        <v>205</v>
      </c>
      <c r="E82" s="34" t="s">
        <v>206</v>
      </c>
      <c r="F82" s="7" t="s">
        <v>30</v>
      </c>
      <c r="G82" s="7" t="s">
        <v>7</v>
      </c>
      <c r="H82" s="7">
        <v>1</v>
      </c>
      <c r="I82" s="7" t="s">
        <v>812</v>
      </c>
      <c r="J82" s="7" t="s">
        <v>803</v>
      </c>
    </row>
    <row r="83" spans="1:10" hidden="1" x14ac:dyDescent="0.35">
      <c r="A83" s="7">
        <f>ROW()-ROW(BARANGKELUAR!$A$3)</f>
        <v>80</v>
      </c>
      <c r="B83" s="7" t="s">
        <v>979</v>
      </c>
      <c r="C83" s="31">
        <v>45784</v>
      </c>
      <c r="D83" s="7" t="s">
        <v>661</v>
      </c>
      <c r="E83" s="34" t="s">
        <v>662</v>
      </c>
      <c r="F83" s="7" t="s">
        <v>562</v>
      </c>
      <c r="G83" s="7" t="s">
        <v>7</v>
      </c>
      <c r="H83" s="7">
        <v>1</v>
      </c>
      <c r="I83" s="7" t="s">
        <v>812</v>
      </c>
      <c r="J83" s="7" t="s">
        <v>803</v>
      </c>
    </row>
    <row r="84" spans="1:10" hidden="1" x14ac:dyDescent="0.35">
      <c r="A84" s="7">
        <f>ROW()-ROW(BARANGKELUAR!$A$3)</f>
        <v>81</v>
      </c>
      <c r="B84" s="7" t="s">
        <v>980</v>
      </c>
      <c r="C84" s="31">
        <v>45784</v>
      </c>
      <c r="D84" s="7" t="s">
        <v>857</v>
      </c>
      <c r="E84" s="34" t="s">
        <v>858</v>
      </c>
      <c r="F84" s="7" t="s">
        <v>562</v>
      </c>
      <c r="G84" s="7" t="s">
        <v>7</v>
      </c>
      <c r="H84" s="7">
        <v>2</v>
      </c>
      <c r="I84" s="7" t="s">
        <v>799</v>
      </c>
      <c r="J84" s="7" t="s">
        <v>800</v>
      </c>
    </row>
    <row r="85" spans="1:10" hidden="1" x14ac:dyDescent="0.35">
      <c r="A85" s="7">
        <f>ROW()-ROW(BARANGKELUAR!$A$3)</f>
        <v>82</v>
      </c>
      <c r="B85" s="7" t="s">
        <v>981</v>
      </c>
      <c r="C85" s="31">
        <v>45784</v>
      </c>
      <c r="D85" s="7" t="s">
        <v>739</v>
      </c>
      <c r="E85" s="34" t="s">
        <v>740</v>
      </c>
      <c r="F85" s="7" t="s">
        <v>106</v>
      </c>
      <c r="G85" s="7" t="s">
        <v>7</v>
      </c>
      <c r="H85" s="7">
        <v>1</v>
      </c>
      <c r="I85" s="7" t="s">
        <v>811</v>
      </c>
      <c r="J85" s="7" t="s">
        <v>803</v>
      </c>
    </row>
    <row r="86" spans="1:10" hidden="1" x14ac:dyDescent="0.35">
      <c r="A86" s="7">
        <f>ROW()-ROW(BARANGKELUAR!$A$3)</f>
        <v>83</v>
      </c>
      <c r="B86" s="7" t="s">
        <v>982</v>
      </c>
      <c r="C86" s="31">
        <v>45785</v>
      </c>
      <c r="D86" s="7" t="s">
        <v>56</v>
      </c>
      <c r="E86" s="34" t="s">
        <v>57</v>
      </c>
      <c r="F86" s="7" t="s">
        <v>35</v>
      </c>
      <c r="G86" s="7" t="s">
        <v>7</v>
      </c>
      <c r="H86" s="7">
        <v>1</v>
      </c>
      <c r="I86" s="7" t="s">
        <v>822</v>
      </c>
      <c r="J86" s="7" t="s">
        <v>818</v>
      </c>
    </row>
    <row r="87" spans="1:10" hidden="1" x14ac:dyDescent="0.35">
      <c r="A87" s="7">
        <f>ROW()-ROW(BARANGKELUAR!$A$3)</f>
        <v>84</v>
      </c>
      <c r="B87" s="7" t="s">
        <v>983</v>
      </c>
      <c r="C87" s="31">
        <v>45785</v>
      </c>
      <c r="D87" s="7" t="s">
        <v>52</v>
      </c>
      <c r="E87" s="34" t="s">
        <v>53</v>
      </c>
      <c r="F87" s="7" t="s">
        <v>35</v>
      </c>
      <c r="G87" s="7" t="s">
        <v>7</v>
      </c>
      <c r="H87" s="7">
        <v>1</v>
      </c>
      <c r="I87" s="7" t="s">
        <v>822</v>
      </c>
      <c r="J87" s="7" t="s">
        <v>818</v>
      </c>
    </row>
    <row r="88" spans="1:10" hidden="1" x14ac:dyDescent="0.35">
      <c r="A88" s="7">
        <f>ROW()-ROW(BARANGKELUAR!$A$3)</f>
        <v>85</v>
      </c>
      <c r="B88" s="7" t="s">
        <v>984</v>
      </c>
      <c r="C88" s="31">
        <v>45792</v>
      </c>
      <c r="D88" s="7" t="s">
        <v>645</v>
      </c>
      <c r="E88" s="34" t="s">
        <v>646</v>
      </c>
      <c r="F88" s="7" t="s">
        <v>562</v>
      </c>
      <c r="G88" s="7" t="s">
        <v>7</v>
      </c>
      <c r="H88" s="7">
        <v>1</v>
      </c>
      <c r="I88" s="7" t="s">
        <v>799</v>
      </c>
      <c r="J88" s="7" t="s">
        <v>800</v>
      </c>
    </row>
    <row r="89" spans="1:10" hidden="1" x14ac:dyDescent="0.35">
      <c r="A89" s="7">
        <f>ROW()-ROW(BARANGKELUAR!$A$3)</f>
        <v>86</v>
      </c>
      <c r="B89" s="7" t="s">
        <v>976</v>
      </c>
      <c r="C89" s="31">
        <v>45792</v>
      </c>
      <c r="D89" s="7" t="s">
        <v>25</v>
      </c>
      <c r="E89" s="34" t="s">
        <v>50</v>
      </c>
      <c r="F89" s="7" t="s">
        <v>27</v>
      </c>
      <c r="G89" s="7" t="s">
        <v>7</v>
      </c>
      <c r="H89" s="7">
        <v>1</v>
      </c>
      <c r="I89" s="7" t="s">
        <v>811</v>
      </c>
      <c r="J89" s="7" t="s">
        <v>803</v>
      </c>
    </row>
    <row r="90" spans="1:10" hidden="1" x14ac:dyDescent="0.35">
      <c r="A90" s="7">
        <f>ROW()-ROW(BARANGKELUAR!$A$3)</f>
        <v>87</v>
      </c>
      <c r="B90" s="7" t="s">
        <v>985</v>
      </c>
      <c r="C90" s="31">
        <v>45793</v>
      </c>
      <c r="D90" s="7" t="s">
        <v>25</v>
      </c>
      <c r="E90" s="34" t="s">
        <v>50</v>
      </c>
      <c r="F90" s="7" t="s">
        <v>27</v>
      </c>
      <c r="G90" s="7" t="s">
        <v>7</v>
      </c>
      <c r="H90" s="7">
        <v>2</v>
      </c>
      <c r="I90" s="7" t="s">
        <v>822</v>
      </c>
      <c r="J90" s="7" t="s">
        <v>818</v>
      </c>
    </row>
    <row r="91" spans="1:10" hidden="1" x14ac:dyDescent="0.35">
      <c r="A91" s="7">
        <f>ROW()-ROW(BARANGKELUAR!$A$3)</f>
        <v>88</v>
      </c>
      <c r="B91" s="7" t="s">
        <v>986</v>
      </c>
      <c r="C91" s="31">
        <v>45796</v>
      </c>
      <c r="D91" s="7" t="s">
        <v>663</v>
      </c>
      <c r="E91" s="34" t="s">
        <v>664</v>
      </c>
      <c r="F91" s="7" t="s">
        <v>562</v>
      </c>
      <c r="G91" s="7" t="s">
        <v>7</v>
      </c>
      <c r="H91" s="7">
        <v>1</v>
      </c>
      <c r="I91" s="7" t="s">
        <v>811</v>
      </c>
      <c r="J91" s="7" t="s">
        <v>803</v>
      </c>
    </row>
    <row r="92" spans="1:10" hidden="1" x14ac:dyDescent="0.35">
      <c r="A92" s="7">
        <f>ROW()-ROW(BARANGKELUAR!$A$3)</f>
        <v>89</v>
      </c>
      <c r="B92" s="7" t="s">
        <v>987</v>
      </c>
      <c r="C92" s="31">
        <v>45797</v>
      </c>
      <c r="D92" s="7" t="s">
        <v>963</v>
      </c>
      <c r="E92" s="34" t="s">
        <v>964</v>
      </c>
      <c r="F92" s="7" t="s">
        <v>304</v>
      </c>
      <c r="G92" s="7" t="s">
        <v>7</v>
      </c>
      <c r="H92" s="7">
        <v>1</v>
      </c>
      <c r="I92" s="7" t="s">
        <v>814</v>
      </c>
      <c r="J92" s="7" t="s">
        <v>806</v>
      </c>
    </row>
    <row r="93" spans="1:10" hidden="1" x14ac:dyDescent="0.35">
      <c r="A93" s="7">
        <f>ROW()-ROW(BARANGKELUAR!$A$3)</f>
        <v>90</v>
      </c>
      <c r="B93" s="7" t="s">
        <v>988</v>
      </c>
      <c r="C93" s="31">
        <v>45797</v>
      </c>
      <c r="D93" s="7" t="s">
        <v>25</v>
      </c>
      <c r="E93" s="34" t="s">
        <v>50</v>
      </c>
      <c r="F93" s="7" t="s">
        <v>27</v>
      </c>
      <c r="G93" s="7" t="s">
        <v>7</v>
      </c>
      <c r="H93" s="7">
        <v>1</v>
      </c>
      <c r="I93" s="7" t="s">
        <v>827</v>
      </c>
      <c r="J93" s="7" t="s">
        <v>828</v>
      </c>
    </row>
    <row r="94" spans="1:10" hidden="1" x14ac:dyDescent="0.35">
      <c r="A94" s="7">
        <f>ROW()-ROW(BARANGKELUAR!$A$3)</f>
        <v>91</v>
      </c>
      <c r="B94" s="7" t="s">
        <v>989</v>
      </c>
      <c r="C94" s="31">
        <v>45797</v>
      </c>
      <c r="D94" s="7" t="s">
        <v>25</v>
      </c>
      <c r="E94" s="34" t="s">
        <v>50</v>
      </c>
      <c r="F94" s="7" t="s">
        <v>27</v>
      </c>
      <c r="G94" s="7" t="s">
        <v>7</v>
      </c>
      <c r="H94" s="7">
        <v>1</v>
      </c>
      <c r="I94" s="7" t="s">
        <v>822</v>
      </c>
      <c r="J94" s="7" t="s">
        <v>818</v>
      </c>
    </row>
    <row r="95" spans="1:10" hidden="1" x14ac:dyDescent="0.35">
      <c r="A95" s="7">
        <f>ROW()-ROW(BARANGKELUAR!$A$3)</f>
        <v>92</v>
      </c>
      <c r="B95" s="7" t="s">
        <v>990</v>
      </c>
      <c r="C95" s="31">
        <v>45797</v>
      </c>
      <c r="D95" s="7" t="s">
        <v>25</v>
      </c>
      <c r="E95" s="34" t="s">
        <v>50</v>
      </c>
      <c r="F95" s="7" t="s">
        <v>27</v>
      </c>
      <c r="G95" s="7" t="s">
        <v>7</v>
      </c>
      <c r="H95" s="7">
        <v>1</v>
      </c>
      <c r="I95" s="7" t="s">
        <v>900</v>
      </c>
      <c r="J95" s="7" t="s">
        <v>800</v>
      </c>
    </row>
    <row r="96" spans="1:10" hidden="1" x14ac:dyDescent="0.35">
      <c r="A96" s="7">
        <f>ROW()-ROW(BARANGKELUAR!$A$3)</f>
        <v>93</v>
      </c>
      <c r="B96" s="7" t="s">
        <v>1037</v>
      </c>
      <c r="C96" s="31">
        <v>45799</v>
      </c>
      <c r="D96" s="7" t="s">
        <v>464</v>
      </c>
      <c r="E96" s="34" t="s">
        <v>465</v>
      </c>
      <c r="F96" s="7" t="s">
        <v>30</v>
      </c>
      <c r="G96" s="7" t="s">
        <v>7</v>
      </c>
      <c r="H96" s="7">
        <v>1</v>
      </c>
      <c r="I96" s="7" t="s">
        <v>891</v>
      </c>
      <c r="J96" s="7" t="s">
        <v>835</v>
      </c>
    </row>
    <row r="97" spans="1:10" hidden="1" x14ac:dyDescent="0.35">
      <c r="A97" s="7">
        <f>ROW()-ROW(BARANGKELUAR!$A$3)</f>
        <v>94</v>
      </c>
      <c r="B97" s="7" t="s">
        <v>977</v>
      </c>
      <c r="C97" s="31">
        <v>45802</v>
      </c>
      <c r="D97" s="7" t="s">
        <v>25</v>
      </c>
      <c r="E97" s="34" t="s">
        <v>50</v>
      </c>
      <c r="F97" s="7" t="s">
        <v>27</v>
      </c>
      <c r="G97" s="7" t="s">
        <v>7</v>
      </c>
      <c r="H97" s="7">
        <v>1</v>
      </c>
      <c r="I97" s="7" t="s">
        <v>814</v>
      </c>
      <c r="J97" s="7" t="s">
        <v>806</v>
      </c>
    </row>
    <row r="98" spans="1:10" hidden="1" x14ac:dyDescent="0.35">
      <c r="A98" s="7">
        <f>ROW()-ROW(BARANGKELUAR!$A$3)</f>
        <v>95</v>
      </c>
      <c r="B98" s="7" t="s">
        <v>1038</v>
      </c>
      <c r="C98" s="31">
        <v>45805</v>
      </c>
      <c r="D98" s="7" t="s">
        <v>25</v>
      </c>
      <c r="E98" s="34" t="s">
        <v>50</v>
      </c>
      <c r="F98" s="7" t="s">
        <v>27</v>
      </c>
      <c r="G98" s="7" t="s">
        <v>7</v>
      </c>
      <c r="H98" s="7">
        <v>1</v>
      </c>
      <c r="I98" s="7" t="s">
        <v>822</v>
      </c>
      <c r="J98" s="7" t="s">
        <v>818</v>
      </c>
    </row>
    <row r="99" spans="1:10" hidden="1" x14ac:dyDescent="0.35">
      <c r="A99" s="7">
        <f>ROW()-ROW(BARANGKELUAR!$A$3)</f>
        <v>96</v>
      </c>
      <c r="B99" s="7" t="s">
        <v>1053</v>
      </c>
      <c r="C99" s="31">
        <v>45810</v>
      </c>
      <c r="D99" s="7" t="s">
        <v>464</v>
      </c>
      <c r="E99" s="34" t="s">
        <v>465</v>
      </c>
      <c r="F99" s="7" t="s">
        <v>30</v>
      </c>
      <c r="G99" s="7" t="s">
        <v>7</v>
      </c>
      <c r="H99" s="7">
        <v>2</v>
      </c>
      <c r="I99" s="7" t="s">
        <v>822</v>
      </c>
      <c r="J99" s="7" t="s">
        <v>835</v>
      </c>
    </row>
    <row r="100" spans="1:10" hidden="1" x14ac:dyDescent="0.35">
      <c r="A100" s="7">
        <f>ROW()-ROW(BARANGKELUAR!$A$3)</f>
        <v>97</v>
      </c>
      <c r="B100" s="7" t="s">
        <v>1054</v>
      </c>
      <c r="C100" s="31">
        <v>45810</v>
      </c>
      <c r="D100" s="7" t="s">
        <v>119</v>
      </c>
      <c r="E100" s="34" t="s">
        <v>120</v>
      </c>
      <c r="F100" s="7" t="s">
        <v>521</v>
      </c>
      <c r="G100" s="7" t="s">
        <v>7</v>
      </c>
      <c r="H100" s="7">
        <v>1</v>
      </c>
      <c r="I100" s="7" t="s">
        <v>822</v>
      </c>
      <c r="J100" s="7" t="s">
        <v>818</v>
      </c>
    </row>
    <row r="101" spans="1:10" hidden="1" x14ac:dyDescent="0.35">
      <c r="A101" s="7">
        <f>ROW()-ROW(BARANGKELUAR!$A$3)</f>
        <v>98</v>
      </c>
      <c r="B101" s="7" t="s">
        <v>1055</v>
      </c>
      <c r="C101" s="31">
        <v>45810</v>
      </c>
      <c r="D101" s="7" t="s">
        <v>423</v>
      </c>
      <c r="E101" s="34" t="s">
        <v>424</v>
      </c>
      <c r="F101" s="7" t="s">
        <v>304</v>
      </c>
      <c r="G101" s="7" t="s">
        <v>7</v>
      </c>
      <c r="H101" s="7">
        <v>1</v>
      </c>
      <c r="I101" s="7" t="s">
        <v>822</v>
      </c>
      <c r="J101" s="7" t="s">
        <v>818</v>
      </c>
    </row>
    <row r="102" spans="1:10" hidden="1" x14ac:dyDescent="0.35">
      <c r="A102" s="7">
        <f>ROW()-ROW(BARANGKELUAR!$A$3)</f>
        <v>99</v>
      </c>
      <c r="B102" s="7" t="s">
        <v>1056</v>
      </c>
      <c r="C102" s="31">
        <v>45810</v>
      </c>
      <c r="D102" s="7" t="s">
        <v>665</v>
      </c>
      <c r="E102" s="34" t="s">
        <v>666</v>
      </c>
      <c r="F102" s="7" t="s">
        <v>41</v>
      </c>
      <c r="G102" s="7" t="s">
        <v>7</v>
      </c>
      <c r="H102" s="7">
        <v>1</v>
      </c>
      <c r="I102" s="7" t="s">
        <v>822</v>
      </c>
      <c r="J102" s="7" t="s">
        <v>818</v>
      </c>
    </row>
    <row r="103" spans="1:10" hidden="1" x14ac:dyDescent="0.35">
      <c r="A103" s="7">
        <f>ROW()-ROW(BARANGKELUAR!$A$3)</f>
        <v>100</v>
      </c>
      <c r="B103" s="7" t="s">
        <v>1057</v>
      </c>
      <c r="C103" s="31">
        <v>45810</v>
      </c>
      <c r="D103" s="7" t="s">
        <v>25</v>
      </c>
      <c r="E103" s="34" t="s">
        <v>50</v>
      </c>
      <c r="F103" s="7" t="s">
        <v>27</v>
      </c>
      <c r="G103" s="7" t="s">
        <v>7</v>
      </c>
      <c r="H103" s="7">
        <v>1</v>
      </c>
      <c r="I103" s="7" t="s">
        <v>809</v>
      </c>
      <c r="J103" s="7" t="s">
        <v>835</v>
      </c>
    </row>
    <row r="104" spans="1:10" hidden="1" x14ac:dyDescent="0.35">
      <c r="A104" s="7">
        <f>ROW()-ROW(BARANGKELUAR!$A$3)</f>
        <v>101</v>
      </c>
      <c r="B104" s="7" t="s">
        <v>1058</v>
      </c>
      <c r="C104" s="31">
        <v>45810</v>
      </c>
      <c r="D104" s="7" t="s">
        <v>741</v>
      </c>
      <c r="E104" s="34" t="s">
        <v>742</v>
      </c>
      <c r="F104" s="7" t="s">
        <v>106</v>
      </c>
      <c r="G104" s="7" t="s">
        <v>7</v>
      </c>
      <c r="H104" s="7">
        <v>2</v>
      </c>
      <c r="I104" s="7" t="s">
        <v>799</v>
      </c>
      <c r="J104" s="7" t="s">
        <v>800</v>
      </c>
    </row>
    <row r="105" spans="1:10" hidden="1" x14ac:dyDescent="0.35">
      <c r="A105" s="7">
        <f>ROW()-ROW(BARANGKELUAR!$A$3)</f>
        <v>102</v>
      </c>
      <c r="B105" s="7" t="s">
        <v>1059</v>
      </c>
      <c r="C105" s="31">
        <v>45811</v>
      </c>
      <c r="D105" s="7" t="s">
        <v>948</v>
      </c>
      <c r="E105" s="34" t="s">
        <v>949</v>
      </c>
      <c r="F105" s="7" t="s">
        <v>106</v>
      </c>
      <c r="G105" s="7" t="s">
        <v>7</v>
      </c>
      <c r="H105" s="7">
        <v>2</v>
      </c>
      <c r="I105" s="7" t="s">
        <v>799</v>
      </c>
      <c r="J105" s="7" t="s">
        <v>800</v>
      </c>
    </row>
    <row r="106" spans="1:10" hidden="1" x14ac:dyDescent="0.35">
      <c r="A106" s="7">
        <f>ROW()-ROW(BARANGKELUAR!$A$3)</f>
        <v>103</v>
      </c>
      <c r="B106" s="7" t="s">
        <v>1060</v>
      </c>
      <c r="C106" s="31">
        <v>45811</v>
      </c>
      <c r="D106" s="7" t="s">
        <v>25</v>
      </c>
      <c r="E106" s="34" t="s">
        <v>50</v>
      </c>
      <c r="F106" s="7" t="s">
        <v>27</v>
      </c>
      <c r="G106" s="7" t="s">
        <v>7</v>
      </c>
      <c r="H106" s="7">
        <v>1</v>
      </c>
      <c r="I106" s="7" t="s">
        <v>820</v>
      </c>
      <c r="J106" s="7" t="s">
        <v>800</v>
      </c>
    </row>
    <row r="107" spans="1:10" hidden="1" x14ac:dyDescent="0.35">
      <c r="A107" s="7">
        <f>ROW()-ROW(BARANGKELUAR!$A$3)</f>
        <v>104</v>
      </c>
      <c r="B107" s="7" t="s">
        <v>1061</v>
      </c>
      <c r="C107" s="31">
        <v>45811</v>
      </c>
      <c r="D107" s="7" t="s">
        <v>963</v>
      </c>
      <c r="E107" s="34" t="s">
        <v>964</v>
      </c>
      <c r="F107" s="7" t="s">
        <v>304</v>
      </c>
      <c r="G107" s="7" t="s">
        <v>7</v>
      </c>
      <c r="H107" s="7">
        <v>1</v>
      </c>
      <c r="I107" s="7" t="s">
        <v>802</v>
      </c>
      <c r="J107" s="7" t="s">
        <v>803</v>
      </c>
    </row>
    <row r="108" spans="1:10" hidden="1" x14ac:dyDescent="0.35">
      <c r="A108" s="7">
        <f>ROW()-ROW(BARANGKELUAR!$A$3)</f>
        <v>105</v>
      </c>
      <c r="B108" s="7" t="s">
        <v>1081</v>
      </c>
      <c r="C108" s="31">
        <v>45811</v>
      </c>
      <c r="D108" s="7" t="s">
        <v>25</v>
      </c>
      <c r="E108" s="34" t="s">
        <v>50</v>
      </c>
      <c r="F108" s="7" t="s">
        <v>27</v>
      </c>
      <c r="G108" s="7" t="s">
        <v>7</v>
      </c>
      <c r="H108" s="7">
        <v>1</v>
      </c>
      <c r="I108" s="7" t="s">
        <v>891</v>
      </c>
      <c r="J108" s="7" t="s">
        <v>835</v>
      </c>
    </row>
    <row r="109" spans="1:10" hidden="1" x14ac:dyDescent="0.35">
      <c r="A109" s="7">
        <f>ROW()-ROW(BARANGKELUAR!$A$3)</f>
        <v>106</v>
      </c>
      <c r="B109" s="7" t="s">
        <v>1062</v>
      </c>
      <c r="C109" s="31">
        <v>45819</v>
      </c>
      <c r="D109" s="7" t="s">
        <v>440</v>
      </c>
      <c r="E109" s="34" t="s">
        <v>441</v>
      </c>
      <c r="F109" s="7" t="s">
        <v>41</v>
      </c>
      <c r="G109" s="7" t="s">
        <v>7</v>
      </c>
      <c r="H109" s="7">
        <v>1</v>
      </c>
      <c r="I109" s="7" t="s">
        <v>799</v>
      </c>
      <c r="J109" s="7" t="s">
        <v>800</v>
      </c>
    </row>
    <row r="110" spans="1:10" hidden="1" x14ac:dyDescent="0.35">
      <c r="A110" s="7">
        <f>ROW()-ROW(BARANGKELUAR!$A$3)</f>
        <v>107</v>
      </c>
      <c r="B110" s="7" t="s">
        <v>1063</v>
      </c>
      <c r="C110" s="31">
        <v>45819</v>
      </c>
      <c r="D110" s="7" t="s">
        <v>25</v>
      </c>
      <c r="E110" s="34" t="s">
        <v>50</v>
      </c>
      <c r="F110" s="7" t="s">
        <v>27</v>
      </c>
      <c r="G110" s="7" t="s">
        <v>7</v>
      </c>
      <c r="H110" s="7">
        <v>1</v>
      </c>
      <c r="I110" s="7" t="s">
        <v>814</v>
      </c>
      <c r="J110" s="7" t="s">
        <v>806</v>
      </c>
    </row>
    <row r="111" spans="1:10" hidden="1" x14ac:dyDescent="0.35">
      <c r="A111" s="7">
        <f>ROW()-ROW(BARANGKELUAR!$A$3)</f>
        <v>108</v>
      </c>
      <c r="B111" s="7" t="s">
        <v>1080</v>
      </c>
      <c r="C111" s="31">
        <v>45819</v>
      </c>
      <c r="D111" s="7" t="s">
        <v>25</v>
      </c>
      <c r="E111" s="34" t="s">
        <v>50</v>
      </c>
      <c r="F111" s="7" t="s">
        <v>27</v>
      </c>
      <c r="G111" s="7" t="s">
        <v>7</v>
      </c>
      <c r="H111" s="7">
        <v>1</v>
      </c>
      <c r="I111" s="7" t="s">
        <v>834</v>
      </c>
      <c r="J111" s="7" t="s">
        <v>835</v>
      </c>
    </row>
    <row r="112" spans="1:10" hidden="1" x14ac:dyDescent="0.35">
      <c r="A112" s="7">
        <f>ROW()-ROW(BARANGKELUAR!$A$3)</f>
        <v>109</v>
      </c>
      <c r="B112" s="7" t="s">
        <v>1064</v>
      </c>
      <c r="C112" s="31">
        <v>45821</v>
      </c>
      <c r="D112" s="7" t="s">
        <v>130</v>
      </c>
      <c r="E112" s="34" t="s">
        <v>271</v>
      </c>
      <c r="F112" s="7" t="s">
        <v>506</v>
      </c>
      <c r="G112" s="7" t="s">
        <v>7</v>
      </c>
      <c r="H112" s="7">
        <v>1</v>
      </c>
      <c r="I112" s="7" t="s">
        <v>802</v>
      </c>
      <c r="J112" s="7" t="s">
        <v>803</v>
      </c>
    </row>
    <row r="113" spans="1:10" hidden="1" x14ac:dyDescent="0.35">
      <c r="A113" s="7">
        <f>ROW()-ROW(BARANGKELUAR!$A$3)</f>
        <v>110</v>
      </c>
      <c r="B113" s="7" t="s">
        <v>1065</v>
      </c>
      <c r="C113" s="31">
        <v>45821</v>
      </c>
      <c r="D113" s="7" t="s">
        <v>42</v>
      </c>
      <c r="E113" s="34" t="s">
        <v>43</v>
      </c>
      <c r="F113" s="7" t="s">
        <v>30</v>
      </c>
      <c r="G113" s="7" t="s">
        <v>7</v>
      </c>
      <c r="H113" s="7">
        <v>1</v>
      </c>
      <c r="I113" s="7" t="s">
        <v>799</v>
      </c>
      <c r="J113" s="7" t="s">
        <v>800</v>
      </c>
    </row>
    <row r="114" spans="1:10" hidden="1" x14ac:dyDescent="0.35">
      <c r="A114" s="7">
        <f>ROW()-ROW(BARANGKELUAR!$A$3)</f>
        <v>111</v>
      </c>
      <c r="B114" s="7" t="s">
        <v>1050</v>
      </c>
      <c r="C114" s="31">
        <v>45823</v>
      </c>
      <c r="D114" s="7" t="s">
        <v>867</v>
      </c>
      <c r="E114" s="34" t="s">
        <v>868</v>
      </c>
      <c r="F114" s="7" t="s">
        <v>106</v>
      </c>
      <c r="G114" s="7" t="s">
        <v>7</v>
      </c>
      <c r="H114" s="7">
        <v>1</v>
      </c>
      <c r="I114" s="7" t="s">
        <v>888</v>
      </c>
      <c r="J114" s="7" t="s">
        <v>800</v>
      </c>
    </row>
    <row r="115" spans="1:10" hidden="1" x14ac:dyDescent="0.35">
      <c r="A115" s="7">
        <f>ROW()-ROW(BARANGKELUAR!$A$3)</f>
        <v>112</v>
      </c>
      <c r="B115" s="7" t="s">
        <v>1051</v>
      </c>
      <c r="C115" s="31">
        <v>45823</v>
      </c>
      <c r="D115" s="7" t="s">
        <v>963</v>
      </c>
      <c r="E115" s="34" t="s">
        <v>964</v>
      </c>
      <c r="F115" s="7" t="s">
        <v>304</v>
      </c>
      <c r="G115" s="7" t="s">
        <v>7</v>
      </c>
      <c r="H115" s="7">
        <v>2</v>
      </c>
      <c r="I115" s="7" t="s">
        <v>888</v>
      </c>
      <c r="J115" s="7" t="s">
        <v>800</v>
      </c>
    </row>
    <row r="116" spans="1:10" hidden="1" x14ac:dyDescent="0.35">
      <c r="A116" s="7">
        <f>ROW()-ROW(BARANGKELUAR!$A$3)</f>
        <v>113</v>
      </c>
      <c r="B116" s="7" t="s">
        <v>1066</v>
      </c>
      <c r="C116" s="31">
        <v>45825</v>
      </c>
      <c r="D116" s="7" t="s">
        <v>948</v>
      </c>
      <c r="E116" s="34" t="s">
        <v>949</v>
      </c>
      <c r="F116" s="7" t="s">
        <v>106</v>
      </c>
      <c r="G116" s="7" t="s">
        <v>7</v>
      </c>
      <c r="H116" s="7">
        <v>2</v>
      </c>
      <c r="I116" s="7" t="s">
        <v>799</v>
      </c>
      <c r="J116" s="7" t="s">
        <v>800</v>
      </c>
    </row>
    <row r="117" spans="1:10" hidden="1" x14ac:dyDescent="0.35">
      <c r="A117" s="7">
        <f>ROW()-ROW(BARANGKELUAR!$A$3)</f>
        <v>114</v>
      </c>
      <c r="B117" s="7" t="s">
        <v>1067</v>
      </c>
      <c r="C117" s="31">
        <v>45826</v>
      </c>
      <c r="D117" s="7" t="s">
        <v>25</v>
      </c>
      <c r="E117" s="34" t="s">
        <v>50</v>
      </c>
      <c r="F117" s="7" t="s">
        <v>27</v>
      </c>
      <c r="G117" s="7" t="s">
        <v>7</v>
      </c>
      <c r="H117" s="7">
        <v>1</v>
      </c>
      <c r="I117" s="7" t="s">
        <v>827</v>
      </c>
      <c r="J117" s="7" t="s">
        <v>828</v>
      </c>
    </row>
    <row r="118" spans="1:10" hidden="1" x14ac:dyDescent="0.35">
      <c r="A118" s="7">
        <f>ROW()-ROW(BARANGKELUAR!$A$3)</f>
        <v>115</v>
      </c>
      <c r="B118" s="7" t="s">
        <v>1068</v>
      </c>
      <c r="C118" s="31">
        <v>45826</v>
      </c>
      <c r="D118" s="7" t="s">
        <v>655</v>
      </c>
      <c r="E118" s="34" t="s">
        <v>656</v>
      </c>
      <c r="F118" s="7" t="s">
        <v>30</v>
      </c>
      <c r="G118" s="7" t="s">
        <v>7</v>
      </c>
      <c r="H118" s="7">
        <v>1</v>
      </c>
      <c r="I118" s="7" t="s">
        <v>805</v>
      </c>
      <c r="J118" s="7" t="s">
        <v>806</v>
      </c>
    </row>
    <row r="119" spans="1:10" hidden="1" x14ac:dyDescent="0.35">
      <c r="A119" s="7">
        <f>ROW()-ROW(BARANGKELUAR!$A$3)</f>
        <v>116</v>
      </c>
      <c r="B119" s="7" t="s">
        <v>1069</v>
      </c>
      <c r="C119" s="31">
        <v>45826</v>
      </c>
      <c r="D119" s="7" t="s">
        <v>25</v>
      </c>
      <c r="E119" s="34" t="s">
        <v>50</v>
      </c>
      <c r="F119" s="7" t="s">
        <v>27</v>
      </c>
      <c r="G119" s="7" t="s">
        <v>7</v>
      </c>
      <c r="H119" s="7">
        <v>1</v>
      </c>
      <c r="I119" s="7" t="s">
        <v>802</v>
      </c>
      <c r="J119" s="7" t="s">
        <v>803</v>
      </c>
    </row>
    <row r="120" spans="1:10" hidden="1" x14ac:dyDescent="0.35">
      <c r="A120" s="7">
        <f>ROW()-ROW(BARANGKELUAR!$A$3)</f>
        <v>117</v>
      </c>
      <c r="B120" s="7" t="s">
        <v>1070</v>
      </c>
      <c r="C120" s="31">
        <v>45827</v>
      </c>
      <c r="D120" s="7" t="s">
        <v>431</v>
      </c>
      <c r="E120" s="34" t="s">
        <v>432</v>
      </c>
      <c r="F120" s="7" t="s">
        <v>30</v>
      </c>
      <c r="G120" s="7" t="s">
        <v>7</v>
      </c>
      <c r="H120" s="7">
        <v>1</v>
      </c>
      <c r="I120" s="7" t="s">
        <v>817</v>
      </c>
      <c r="J120" s="7" t="s">
        <v>818</v>
      </c>
    </row>
    <row r="121" spans="1:10" hidden="1" x14ac:dyDescent="0.35">
      <c r="A121" s="7">
        <f>ROW()-ROW(BARANGKELUAR!$A$3)</f>
        <v>118</v>
      </c>
      <c r="B121" s="7" t="s">
        <v>1071</v>
      </c>
      <c r="C121" s="31">
        <v>45832</v>
      </c>
      <c r="D121" s="7" t="s">
        <v>92</v>
      </c>
      <c r="E121" s="34" t="s">
        <v>93</v>
      </c>
      <c r="F121" s="7" t="s">
        <v>30</v>
      </c>
      <c r="G121" s="7" t="s">
        <v>7</v>
      </c>
      <c r="H121" s="7">
        <v>1</v>
      </c>
      <c r="I121" s="7" t="s">
        <v>811</v>
      </c>
      <c r="J121" s="7" t="s">
        <v>803</v>
      </c>
    </row>
    <row r="122" spans="1:10" hidden="1" x14ac:dyDescent="0.35">
      <c r="A122" s="7">
        <f>ROW()-ROW(BARANGKELUAR!$A$3)</f>
        <v>119</v>
      </c>
      <c r="B122" s="7" t="s">
        <v>1072</v>
      </c>
      <c r="C122" s="31">
        <v>45832</v>
      </c>
      <c r="D122" s="7" t="s">
        <v>25</v>
      </c>
      <c r="E122" s="34" t="s">
        <v>50</v>
      </c>
      <c r="F122" s="7" t="s">
        <v>27</v>
      </c>
      <c r="G122" s="7" t="s">
        <v>7</v>
      </c>
      <c r="H122" s="7">
        <v>1</v>
      </c>
      <c r="I122" s="7" t="s">
        <v>820</v>
      </c>
      <c r="J122" s="7" t="s">
        <v>800</v>
      </c>
    </row>
    <row r="123" spans="1:10" hidden="1" x14ac:dyDescent="0.35">
      <c r="A123" s="7">
        <f>ROW()-ROW(BARANGKELUAR!$A$3)</f>
        <v>120</v>
      </c>
      <c r="B123" s="7" t="s">
        <v>1073</v>
      </c>
      <c r="C123" s="31">
        <v>45832</v>
      </c>
      <c r="D123" s="7" t="s">
        <v>25</v>
      </c>
      <c r="E123" s="34" t="s">
        <v>50</v>
      </c>
      <c r="F123" s="7" t="s">
        <v>27</v>
      </c>
      <c r="G123" s="7" t="s">
        <v>7</v>
      </c>
      <c r="H123" s="7">
        <v>1</v>
      </c>
      <c r="I123" s="7" t="s">
        <v>827</v>
      </c>
      <c r="J123" s="7" t="s">
        <v>828</v>
      </c>
    </row>
    <row r="124" spans="1:10" hidden="1" x14ac:dyDescent="0.35">
      <c r="A124" s="7">
        <f>ROW()-ROW(BARANGKELUAR!$A$3)</f>
        <v>121</v>
      </c>
      <c r="B124" s="7" t="s">
        <v>1074</v>
      </c>
      <c r="C124" s="31">
        <v>45833</v>
      </c>
      <c r="D124" s="7" t="s">
        <v>645</v>
      </c>
      <c r="E124" s="34" t="s">
        <v>646</v>
      </c>
      <c r="F124" s="7" t="s">
        <v>562</v>
      </c>
      <c r="G124" s="7" t="s">
        <v>7</v>
      </c>
      <c r="H124" s="7">
        <v>1</v>
      </c>
      <c r="I124" s="7" t="s">
        <v>891</v>
      </c>
      <c r="J124" s="7" t="s">
        <v>835</v>
      </c>
    </row>
    <row r="125" spans="1:10" hidden="1" x14ac:dyDescent="0.35">
      <c r="A125" s="7">
        <f>ROW()-ROW(BARANGKELUAR!$A$3)</f>
        <v>122</v>
      </c>
      <c r="B125" s="7" t="s">
        <v>1075</v>
      </c>
      <c r="C125" s="31">
        <v>45834</v>
      </c>
      <c r="D125" s="7" t="s">
        <v>25</v>
      </c>
      <c r="E125" s="34" t="s">
        <v>50</v>
      </c>
      <c r="F125" s="7" t="s">
        <v>27</v>
      </c>
      <c r="G125" s="7" t="s">
        <v>7</v>
      </c>
      <c r="H125" s="7">
        <v>1</v>
      </c>
      <c r="I125" s="7" t="s">
        <v>814</v>
      </c>
      <c r="J125" s="7" t="s">
        <v>806</v>
      </c>
    </row>
    <row r="126" spans="1:10" hidden="1" x14ac:dyDescent="0.35">
      <c r="A126" s="7">
        <f>ROW()-ROW(BARANGKELUAR!$A$3)</f>
        <v>123</v>
      </c>
      <c r="B126" s="7" t="s">
        <v>1077</v>
      </c>
      <c r="C126" s="31">
        <v>45834</v>
      </c>
      <c r="D126" s="7" t="s">
        <v>423</v>
      </c>
      <c r="E126" s="34" t="s">
        <v>424</v>
      </c>
      <c r="F126" s="7" t="s">
        <v>304</v>
      </c>
      <c r="G126" s="7" t="s">
        <v>7</v>
      </c>
      <c r="H126" s="7">
        <v>1</v>
      </c>
      <c r="I126" s="7" t="s">
        <v>814</v>
      </c>
      <c r="J126" s="7" t="s">
        <v>806</v>
      </c>
    </row>
    <row r="127" spans="1:10" hidden="1" x14ac:dyDescent="0.35">
      <c r="A127" s="7">
        <f>ROW()-ROW(BARANGKELUAR!$A$3)</f>
        <v>124</v>
      </c>
      <c r="B127" s="7" t="s">
        <v>1082</v>
      </c>
      <c r="C127" s="31">
        <v>45834</v>
      </c>
      <c r="D127" s="7" t="s">
        <v>25</v>
      </c>
      <c r="E127" s="34" t="s">
        <v>50</v>
      </c>
      <c r="F127" s="7" t="s">
        <v>27</v>
      </c>
      <c r="G127" s="7" t="s">
        <v>7</v>
      </c>
      <c r="H127" s="7">
        <v>1</v>
      </c>
      <c r="I127" s="7" t="s">
        <v>891</v>
      </c>
      <c r="J127" s="7" t="s">
        <v>835</v>
      </c>
    </row>
    <row r="128" spans="1:10" hidden="1" x14ac:dyDescent="0.35">
      <c r="A128" s="7">
        <f>ROW()-ROW(BARANGKELUAR!$A$3)</f>
        <v>125</v>
      </c>
      <c r="B128" s="7" t="s">
        <v>1076</v>
      </c>
      <c r="C128" s="31">
        <v>45838</v>
      </c>
      <c r="D128" s="7" t="s">
        <v>25</v>
      </c>
      <c r="E128" s="34" t="s">
        <v>50</v>
      </c>
      <c r="F128" s="7" t="s">
        <v>27</v>
      </c>
      <c r="G128" s="7" t="s">
        <v>7</v>
      </c>
      <c r="H128" s="7">
        <v>1</v>
      </c>
      <c r="I128" s="7" t="s">
        <v>820</v>
      </c>
      <c r="J128" s="7" t="s">
        <v>800</v>
      </c>
    </row>
    <row r="129" spans="1:10" hidden="1" x14ac:dyDescent="0.35">
      <c r="A129" s="7">
        <f>ROW()-ROW(BARANGKELUAR!$A$3)</f>
        <v>126</v>
      </c>
      <c r="B129" s="7" t="s">
        <v>1078</v>
      </c>
      <c r="C129" s="31">
        <v>45838</v>
      </c>
      <c r="D129" s="7" t="s">
        <v>28</v>
      </c>
      <c r="E129" s="34" t="s">
        <v>51</v>
      </c>
      <c r="F129" s="7" t="s">
        <v>35</v>
      </c>
      <c r="G129" s="7" t="s">
        <v>7</v>
      </c>
      <c r="H129" s="7">
        <v>1</v>
      </c>
      <c r="I129" s="7" t="s">
        <v>834</v>
      </c>
      <c r="J129" s="7" t="s">
        <v>835</v>
      </c>
    </row>
    <row r="130" spans="1:10" hidden="1" x14ac:dyDescent="0.35">
      <c r="A130" s="7">
        <f>ROW()-ROW(BARANGKELUAR!$A$3)</f>
        <v>127</v>
      </c>
      <c r="B130" s="7" t="s">
        <v>1084</v>
      </c>
      <c r="C130" s="31">
        <v>45838</v>
      </c>
      <c r="D130" s="7" t="s">
        <v>45</v>
      </c>
      <c r="E130" s="34" t="s">
        <v>46</v>
      </c>
      <c r="F130" s="7" t="s">
        <v>47</v>
      </c>
      <c r="G130" s="7" t="s">
        <v>7</v>
      </c>
      <c r="H130" s="7">
        <v>3</v>
      </c>
      <c r="I130" s="7" t="s">
        <v>888</v>
      </c>
      <c r="J130" s="7" t="s">
        <v>800</v>
      </c>
    </row>
    <row r="131" spans="1:10" hidden="1" x14ac:dyDescent="0.35">
      <c r="A131" s="7">
        <f>ROW()-ROW(BARANGKELUAR!$A$3)</f>
        <v>128</v>
      </c>
      <c r="B131" s="7" t="s">
        <v>1085</v>
      </c>
      <c r="C131" s="31">
        <v>45838</v>
      </c>
      <c r="D131" s="7" t="s">
        <v>138</v>
      </c>
      <c r="E131" s="34" t="s">
        <v>139</v>
      </c>
      <c r="F131" s="7" t="s">
        <v>30</v>
      </c>
      <c r="G131" s="7" t="s">
        <v>7</v>
      </c>
      <c r="H131" s="7">
        <v>1</v>
      </c>
      <c r="I131" s="7" t="s">
        <v>888</v>
      </c>
      <c r="J131" s="7" t="s">
        <v>800</v>
      </c>
    </row>
    <row r="132" spans="1:10" hidden="1" x14ac:dyDescent="0.35">
      <c r="A132" s="7">
        <f>ROW()-ROW(BARANGKELUAR!$A$3)</f>
        <v>129</v>
      </c>
      <c r="B132" s="7" t="s">
        <v>1086</v>
      </c>
      <c r="C132" s="31">
        <v>45838</v>
      </c>
      <c r="D132" s="7" t="s">
        <v>464</v>
      </c>
      <c r="E132" s="34" t="s">
        <v>465</v>
      </c>
      <c r="F132" s="7" t="s">
        <v>30</v>
      </c>
      <c r="G132" s="7" t="s">
        <v>7</v>
      </c>
      <c r="H132" s="7">
        <v>1</v>
      </c>
      <c r="I132" s="7" t="s">
        <v>888</v>
      </c>
      <c r="J132" s="7" t="s">
        <v>800</v>
      </c>
    </row>
    <row r="133" spans="1:10" hidden="1" x14ac:dyDescent="0.35">
      <c r="A133" s="7">
        <f>ROW()-ROW(BARANGKELUAR!$A$3)</f>
        <v>130</v>
      </c>
      <c r="B133" s="7" t="s">
        <v>1087</v>
      </c>
      <c r="C133" s="31">
        <v>45838</v>
      </c>
      <c r="D133" s="7" t="s">
        <v>909</v>
      </c>
      <c r="E133" s="34" t="s">
        <v>910</v>
      </c>
      <c r="F133" s="7" t="s">
        <v>911</v>
      </c>
      <c r="G133" s="7" t="s">
        <v>7</v>
      </c>
      <c r="H133" s="7">
        <v>2</v>
      </c>
      <c r="I133" s="7" t="s">
        <v>888</v>
      </c>
      <c r="J133" s="7" t="s">
        <v>800</v>
      </c>
    </row>
    <row r="134" spans="1:10" hidden="1" x14ac:dyDescent="0.35">
      <c r="A134" s="7">
        <f>ROW()-ROW(BARANGKELUAR!$A$3)</f>
        <v>131</v>
      </c>
      <c r="B134" s="7" t="s">
        <v>1079</v>
      </c>
      <c r="C134" s="31">
        <v>45839</v>
      </c>
      <c r="D134" s="7" t="s">
        <v>25</v>
      </c>
      <c r="E134" s="34" t="s">
        <v>50</v>
      </c>
      <c r="F134" s="7" t="s">
        <v>27</v>
      </c>
      <c r="G134" s="7" t="s">
        <v>7</v>
      </c>
      <c r="H134" s="7">
        <v>1</v>
      </c>
      <c r="I134" s="7" t="s">
        <v>891</v>
      </c>
      <c r="J134" s="7" t="s">
        <v>835</v>
      </c>
    </row>
    <row r="135" spans="1:10" hidden="1" x14ac:dyDescent="0.35">
      <c r="A135" s="7">
        <f>ROW()-ROW(BARANGKELUAR!$A$3)</f>
        <v>132</v>
      </c>
      <c r="B135" s="7" t="s">
        <v>1095</v>
      </c>
      <c r="C135" s="31">
        <v>45840</v>
      </c>
      <c r="D135" s="7" t="s">
        <v>25</v>
      </c>
      <c r="E135" s="34" t="s">
        <v>50</v>
      </c>
      <c r="F135" s="7" t="s">
        <v>27</v>
      </c>
      <c r="G135" s="7" t="s">
        <v>7</v>
      </c>
      <c r="H135" s="7">
        <v>1</v>
      </c>
      <c r="I135" s="7" t="s">
        <v>811</v>
      </c>
      <c r="J135" s="7" t="s">
        <v>803</v>
      </c>
    </row>
    <row r="136" spans="1:10" hidden="1" x14ac:dyDescent="0.35">
      <c r="A136" s="7">
        <f>ROW()-ROW(BARANGKELUAR!$A$3)</f>
        <v>133</v>
      </c>
      <c r="B136" s="7" t="s">
        <v>1096</v>
      </c>
      <c r="C136" s="31">
        <v>45841</v>
      </c>
      <c r="D136" s="7" t="s">
        <v>25</v>
      </c>
      <c r="E136" s="34" t="s">
        <v>50</v>
      </c>
      <c r="F136" s="7" t="s">
        <v>27</v>
      </c>
      <c r="G136" s="7" t="s">
        <v>7</v>
      </c>
      <c r="H136" s="7">
        <v>1</v>
      </c>
      <c r="I136" s="7" t="s">
        <v>802</v>
      </c>
      <c r="J136" s="7" t="s">
        <v>803</v>
      </c>
    </row>
    <row r="137" spans="1:10" hidden="1" x14ac:dyDescent="0.35">
      <c r="A137" s="7">
        <f>ROW()-ROW(BARANGKELUAR!$A$3)</f>
        <v>134</v>
      </c>
      <c r="B137" s="7" t="s">
        <v>1097</v>
      </c>
      <c r="C137" s="31">
        <v>45845</v>
      </c>
      <c r="D137" s="7" t="s">
        <v>634</v>
      </c>
      <c r="E137" s="34" t="s">
        <v>635</v>
      </c>
      <c r="F137" s="7" t="s">
        <v>30</v>
      </c>
      <c r="G137" s="7" t="s">
        <v>7</v>
      </c>
      <c r="H137" s="7">
        <v>1</v>
      </c>
      <c r="I137" s="7" t="s">
        <v>822</v>
      </c>
      <c r="J137" s="7" t="s">
        <v>818</v>
      </c>
    </row>
    <row r="138" spans="1:10" hidden="1" x14ac:dyDescent="0.35">
      <c r="A138" s="7">
        <f>ROW()-ROW(BARANGKELUAR!$A$3)</f>
        <v>135</v>
      </c>
      <c r="B138" s="7" t="s">
        <v>1098</v>
      </c>
      <c r="C138" s="31">
        <v>45845</v>
      </c>
      <c r="D138" s="7" t="s">
        <v>95</v>
      </c>
      <c r="E138" s="34" t="s">
        <v>96</v>
      </c>
      <c r="F138" s="7" t="s">
        <v>30</v>
      </c>
      <c r="G138" s="7" t="s">
        <v>7</v>
      </c>
      <c r="H138" s="7">
        <v>1</v>
      </c>
      <c r="I138" s="7" t="s">
        <v>900</v>
      </c>
      <c r="J138" s="7" t="s">
        <v>800</v>
      </c>
    </row>
    <row r="139" spans="1:10" hidden="1" x14ac:dyDescent="0.35">
      <c r="A139" s="7">
        <f>ROW()-ROW(BARANGKELUAR!$A$3)</f>
        <v>136</v>
      </c>
      <c r="B139" s="7" t="s">
        <v>1099</v>
      </c>
      <c r="C139" s="31">
        <v>45846</v>
      </c>
      <c r="D139" s="7" t="s">
        <v>95</v>
      </c>
      <c r="E139" s="34" t="s">
        <v>96</v>
      </c>
      <c r="F139" s="7" t="s">
        <v>30</v>
      </c>
      <c r="G139" s="7" t="s">
        <v>7</v>
      </c>
      <c r="H139" s="7">
        <v>1</v>
      </c>
      <c r="I139" s="7" t="s">
        <v>802</v>
      </c>
      <c r="J139" s="7" t="s">
        <v>803</v>
      </c>
    </row>
    <row r="140" spans="1:10" hidden="1" x14ac:dyDescent="0.35">
      <c r="A140" s="7">
        <f>ROW()-ROW(BARANGKELUAR!$A$3)</f>
        <v>137</v>
      </c>
      <c r="B140" s="7" t="s">
        <v>1100</v>
      </c>
      <c r="C140" s="31">
        <v>45846</v>
      </c>
      <c r="D140" s="7" t="s">
        <v>25</v>
      </c>
      <c r="E140" s="34" t="s">
        <v>50</v>
      </c>
      <c r="F140" s="7" t="s">
        <v>27</v>
      </c>
      <c r="G140" s="7" t="s">
        <v>7</v>
      </c>
      <c r="H140" s="7">
        <v>1</v>
      </c>
      <c r="I140" s="7" t="s">
        <v>814</v>
      </c>
      <c r="J140" s="7" t="s">
        <v>806</v>
      </c>
    </row>
    <row r="141" spans="1:10" hidden="1" x14ac:dyDescent="0.35">
      <c r="A141" s="7">
        <f>ROW()-ROW(BARANGKELUAR!$A$3)</f>
        <v>138</v>
      </c>
      <c r="B141" s="7" t="s">
        <v>1101</v>
      </c>
      <c r="C141" s="31">
        <v>45847</v>
      </c>
      <c r="D141" s="7" t="s">
        <v>867</v>
      </c>
      <c r="E141" s="34" t="s">
        <v>868</v>
      </c>
      <c r="F141" s="7" t="s">
        <v>106</v>
      </c>
      <c r="G141" s="7" t="s">
        <v>7</v>
      </c>
      <c r="H141" s="7">
        <v>1</v>
      </c>
      <c r="I141" s="7" t="s">
        <v>805</v>
      </c>
      <c r="J141" s="7" t="s">
        <v>806</v>
      </c>
    </row>
    <row r="142" spans="1:10" hidden="1" x14ac:dyDescent="0.35">
      <c r="A142" s="7">
        <f>ROW()-ROW(BARANGKELUAR!$A$3)</f>
        <v>139</v>
      </c>
      <c r="B142" s="7" t="s">
        <v>1102</v>
      </c>
      <c r="C142" s="31">
        <v>45847</v>
      </c>
      <c r="D142" s="7" t="s">
        <v>867</v>
      </c>
      <c r="E142" s="34" t="s">
        <v>868</v>
      </c>
      <c r="F142" s="7" t="s">
        <v>106</v>
      </c>
      <c r="G142" s="7" t="s">
        <v>7</v>
      </c>
      <c r="H142" s="7">
        <v>1</v>
      </c>
      <c r="I142" s="7" t="s">
        <v>822</v>
      </c>
      <c r="J142" s="7" t="s">
        <v>818</v>
      </c>
    </row>
    <row r="143" spans="1:10" hidden="1" x14ac:dyDescent="0.35">
      <c r="A143" s="7">
        <f>ROW()-ROW(BARANGKELUAR!$A$3)</f>
        <v>140</v>
      </c>
      <c r="B143" s="7" t="s">
        <v>1103</v>
      </c>
      <c r="C143" s="31">
        <v>45848</v>
      </c>
      <c r="D143" s="7" t="s">
        <v>25</v>
      </c>
      <c r="E143" s="34" t="s">
        <v>50</v>
      </c>
      <c r="F143" s="7" t="s">
        <v>27</v>
      </c>
      <c r="G143" s="7" t="s">
        <v>7</v>
      </c>
      <c r="H143" s="7">
        <v>1</v>
      </c>
      <c r="I143" s="7" t="s">
        <v>900</v>
      </c>
      <c r="J143" s="7" t="s">
        <v>800</v>
      </c>
    </row>
    <row r="144" spans="1:10" hidden="1" x14ac:dyDescent="0.35">
      <c r="A144" s="7">
        <f>ROW()-ROW(BARANGKELUAR!$A$3)</f>
        <v>141</v>
      </c>
      <c r="B144" s="7" t="s">
        <v>1104</v>
      </c>
      <c r="C144" s="31">
        <v>45854</v>
      </c>
      <c r="D144" s="7" t="s">
        <v>25</v>
      </c>
      <c r="E144" s="34" t="s">
        <v>50</v>
      </c>
      <c r="F144" s="7" t="s">
        <v>27</v>
      </c>
      <c r="G144" s="7" t="s">
        <v>7</v>
      </c>
      <c r="H144" s="7">
        <v>1</v>
      </c>
      <c r="I144" s="7" t="s">
        <v>820</v>
      </c>
      <c r="J144" s="7" t="s">
        <v>800</v>
      </c>
    </row>
    <row r="145" spans="1:10" hidden="1" x14ac:dyDescent="0.35">
      <c r="A145" s="7">
        <f>ROW()-ROW(BARANGKELUAR!$A$3)</f>
        <v>142</v>
      </c>
      <c r="B145" s="7" t="s">
        <v>1105</v>
      </c>
      <c r="C145" s="31">
        <v>45855</v>
      </c>
      <c r="D145" s="7" t="s">
        <v>743</v>
      </c>
      <c r="E145" s="34" t="s">
        <v>744</v>
      </c>
      <c r="F145" s="7" t="s">
        <v>304</v>
      </c>
      <c r="G145" s="7" t="s">
        <v>7</v>
      </c>
      <c r="H145" s="7">
        <v>1</v>
      </c>
      <c r="I145" s="7" t="s">
        <v>814</v>
      </c>
      <c r="J145" s="7" t="s">
        <v>806</v>
      </c>
    </row>
    <row r="146" spans="1:10" hidden="1" x14ac:dyDescent="0.35">
      <c r="A146" s="7">
        <f>ROW()-ROW(BARANGKELUAR!$A$3)</f>
        <v>143</v>
      </c>
      <c r="B146" s="7" t="s">
        <v>1106</v>
      </c>
      <c r="C146" s="31">
        <v>45855</v>
      </c>
      <c r="D146" s="7" t="s">
        <v>25</v>
      </c>
      <c r="E146" s="34" t="s">
        <v>50</v>
      </c>
      <c r="F146" s="7" t="s">
        <v>27</v>
      </c>
      <c r="G146" s="7" t="s">
        <v>7</v>
      </c>
      <c r="H146" s="7">
        <v>1</v>
      </c>
      <c r="I146" s="7" t="s">
        <v>827</v>
      </c>
      <c r="J146" s="7" t="s">
        <v>828</v>
      </c>
    </row>
    <row r="147" spans="1:10" hidden="1" x14ac:dyDescent="0.35">
      <c r="A147" s="7">
        <f>ROW()-ROW(BARANGKELUAR!$A$3)</f>
        <v>144</v>
      </c>
      <c r="B147" s="7" t="s">
        <v>1107</v>
      </c>
      <c r="C147" s="31">
        <v>45855</v>
      </c>
      <c r="D147" s="7" t="s">
        <v>626</v>
      </c>
      <c r="E147" s="34" t="s">
        <v>627</v>
      </c>
      <c r="F147" s="7" t="s">
        <v>30</v>
      </c>
      <c r="G147" s="7" t="s">
        <v>7</v>
      </c>
      <c r="H147" s="7">
        <v>1</v>
      </c>
      <c r="I147" s="7" t="s">
        <v>891</v>
      </c>
      <c r="J147" s="7" t="s">
        <v>835</v>
      </c>
    </row>
    <row r="148" spans="1:10" hidden="1" x14ac:dyDescent="0.35">
      <c r="A148" s="7">
        <f>ROW()-ROW(BARANGKELUAR!$A$3)</f>
        <v>145</v>
      </c>
      <c r="B148" s="7" t="s">
        <v>1143</v>
      </c>
      <c r="C148" s="31">
        <v>45856</v>
      </c>
      <c r="D148" s="7" t="s">
        <v>402</v>
      </c>
      <c r="E148" s="34" t="s">
        <v>403</v>
      </c>
      <c r="F148" s="7" t="s">
        <v>41</v>
      </c>
      <c r="G148" s="7" t="s">
        <v>7</v>
      </c>
      <c r="H148" s="7">
        <v>4</v>
      </c>
      <c r="I148" s="7" t="s">
        <v>809</v>
      </c>
      <c r="J148" s="7" t="s">
        <v>800</v>
      </c>
    </row>
    <row r="149" spans="1:10" hidden="1" x14ac:dyDescent="0.35">
      <c r="A149" s="7">
        <f>ROW()-ROW(BARANGKELUAR!$A$3)</f>
        <v>146</v>
      </c>
      <c r="B149" s="7" t="s">
        <v>1108</v>
      </c>
      <c r="C149" s="31">
        <v>45860</v>
      </c>
      <c r="D149" s="7" t="s">
        <v>54</v>
      </c>
      <c r="E149" s="34" t="s">
        <v>55</v>
      </c>
      <c r="F149" s="7" t="s">
        <v>35</v>
      </c>
      <c r="G149" s="7" t="s">
        <v>7</v>
      </c>
      <c r="H149" s="7">
        <v>1</v>
      </c>
      <c r="I149" s="7" t="s">
        <v>891</v>
      </c>
      <c r="J149" s="7" t="s">
        <v>835</v>
      </c>
    </row>
    <row r="150" spans="1:10" hidden="1" x14ac:dyDescent="0.35">
      <c r="A150" s="7">
        <f>ROW()-ROW(BARANGKELUAR!$A$3)</f>
        <v>147</v>
      </c>
      <c r="B150" s="7" t="s">
        <v>1109</v>
      </c>
      <c r="C150" s="31">
        <v>45861</v>
      </c>
      <c r="D150" s="7" t="s">
        <v>25</v>
      </c>
      <c r="E150" s="34" t="s">
        <v>50</v>
      </c>
      <c r="F150" s="7" t="s">
        <v>27</v>
      </c>
      <c r="G150" s="7" t="s">
        <v>7</v>
      </c>
      <c r="H150" s="7">
        <v>1</v>
      </c>
      <c r="I150" s="7" t="s">
        <v>812</v>
      </c>
      <c r="J150" s="7" t="s">
        <v>803</v>
      </c>
    </row>
    <row r="151" spans="1:10" hidden="1" x14ac:dyDescent="0.35">
      <c r="A151" s="7">
        <f>ROW()-ROW(BARANGKELUAR!$A$3)</f>
        <v>148</v>
      </c>
      <c r="B151" s="7" t="s">
        <v>1134</v>
      </c>
      <c r="C151" s="31">
        <v>45862</v>
      </c>
      <c r="D151" s="7" t="s">
        <v>450</v>
      </c>
      <c r="E151" s="34" t="s">
        <v>451</v>
      </c>
      <c r="F151" s="7" t="s">
        <v>41</v>
      </c>
      <c r="G151" s="7" t="s">
        <v>7</v>
      </c>
      <c r="H151" s="7">
        <v>1</v>
      </c>
      <c r="I151" s="7" t="s">
        <v>805</v>
      </c>
      <c r="J151" s="7" t="s">
        <v>806</v>
      </c>
    </row>
    <row r="152" spans="1:10" hidden="1" x14ac:dyDescent="0.35">
      <c r="A152" s="7">
        <f>ROW()-ROW(BARANGKELUAR!$A$3)</f>
        <v>149</v>
      </c>
      <c r="B152" s="7" t="s">
        <v>1135</v>
      </c>
      <c r="C152" s="31">
        <v>45863</v>
      </c>
      <c r="D152" s="7" t="s">
        <v>669</v>
      </c>
      <c r="E152" s="34" t="s">
        <v>670</v>
      </c>
      <c r="F152" s="7" t="s">
        <v>41</v>
      </c>
      <c r="G152" s="7" t="s">
        <v>7</v>
      </c>
      <c r="H152" s="7">
        <v>1</v>
      </c>
      <c r="I152" s="7" t="s">
        <v>837</v>
      </c>
      <c r="J152" s="7" t="s">
        <v>828</v>
      </c>
    </row>
    <row r="153" spans="1:10" hidden="1" x14ac:dyDescent="0.35">
      <c r="A153" s="7">
        <f>ROW()-ROW(BARANGKELUAR!$A$3)</f>
        <v>150</v>
      </c>
      <c r="B153" s="7" t="s">
        <v>1136</v>
      </c>
      <c r="C153" s="31">
        <v>45863</v>
      </c>
      <c r="D153" s="7" t="s">
        <v>25</v>
      </c>
      <c r="E153" s="34" t="s">
        <v>50</v>
      </c>
      <c r="F153" s="7" t="s">
        <v>27</v>
      </c>
      <c r="G153" s="7" t="s">
        <v>7</v>
      </c>
      <c r="H153" s="7">
        <v>1</v>
      </c>
      <c r="I153" s="7" t="s">
        <v>837</v>
      </c>
      <c r="J153" s="7" t="s">
        <v>828</v>
      </c>
    </row>
    <row r="154" spans="1:10" hidden="1" x14ac:dyDescent="0.35">
      <c r="A154" s="7">
        <f>ROW()-ROW(BARANGKELUAR!$A$3)</f>
        <v>151</v>
      </c>
      <c r="B154" s="7" t="s">
        <v>1137</v>
      </c>
      <c r="C154" s="31">
        <v>45866</v>
      </c>
      <c r="D154" s="7" t="s">
        <v>25</v>
      </c>
      <c r="E154" s="34" t="s">
        <v>50</v>
      </c>
      <c r="F154" s="7" t="s">
        <v>27</v>
      </c>
      <c r="G154" s="7" t="s">
        <v>7</v>
      </c>
      <c r="H154" s="7">
        <v>1</v>
      </c>
      <c r="I154" s="7" t="s">
        <v>817</v>
      </c>
      <c r="J154" s="7" t="s">
        <v>818</v>
      </c>
    </row>
    <row r="155" spans="1:10" hidden="1" x14ac:dyDescent="0.35">
      <c r="A155" s="7">
        <f>ROW()-ROW(BARANGKELUAR!$A$3)</f>
        <v>152</v>
      </c>
      <c r="B155" s="7" t="s">
        <v>1138</v>
      </c>
      <c r="C155" s="31">
        <v>45867</v>
      </c>
      <c r="D155" s="7" t="s">
        <v>25</v>
      </c>
      <c r="E155" s="34" t="s">
        <v>50</v>
      </c>
      <c r="F155" s="7" t="s">
        <v>27</v>
      </c>
      <c r="G155" s="7" t="s">
        <v>7</v>
      </c>
      <c r="H155" s="7">
        <v>1</v>
      </c>
      <c r="I155" s="7" t="s">
        <v>820</v>
      </c>
      <c r="J155" s="7" t="s">
        <v>800</v>
      </c>
    </row>
    <row r="156" spans="1:10" hidden="1" x14ac:dyDescent="0.35">
      <c r="A156" s="7">
        <f>ROW()-ROW(BARANGKELUAR!$A$3)</f>
        <v>153</v>
      </c>
      <c r="B156" s="7" t="s">
        <v>1139</v>
      </c>
      <c r="C156" s="31">
        <v>45867</v>
      </c>
      <c r="D156" s="7" t="s">
        <v>25</v>
      </c>
      <c r="E156" s="34" t="s">
        <v>50</v>
      </c>
      <c r="F156" s="7" t="s">
        <v>27</v>
      </c>
      <c r="G156" s="7" t="s">
        <v>7</v>
      </c>
      <c r="H156" s="7">
        <v>1</v>
      </c>
      <c r="I156" s="7" t="s">
        <v>802</v>
      </c>
      <c r="J156" s="7" t="s">
        <v>803</v>
      </c>
    </row>
    <row r="157" spans="1:10" hidden="1" x14ac:dyDescent="0.35">
      <c r="A157" s="7">
        <f>ROW()-ROW(BARANGKELUAR!$A$3)</f>
        <v>154</v>
      </c>
      <c r="B157" s="7" t="s">
        <v>1140</v>
      </c>
      <c r="C157" s="31">
        <v>45869</v>
      </c>
      <c r="D157" s="7" t="s">
        <v>936</v>
      </c>
      <c r="E157" s="34" t="s">
        <v>937</v>
      </c>
      <c r="F157" s="7" t="s">
        <v>35</v>
      </c>
      <c r="G157" s="7" t="s">
        <v>7</v>
      </c>
      <c r="H157" s="7">
        <v>1</v>
      </c>
      <c r="I157" s="7" t="s">
        <v>802</v>
      </c>
      <c r="J157" s="7" t="s">
        <v>803</v>
      </c>
    </row>
    <row r="158" spans="1:10" hidden="1" x14ac:dyDescent="0.35">
      <c r="A158" s="7">
        <f>ROW()-ROW(BARANGKELUAR!$A$3)</f>
        <v>155</v>
      </c>
      <c r="B158" s="7" t="s">
        <v>1141</v>
      </c>
      <c r="C158" s="31">
        <v>45869</v>
      </c>
      <c r="D158" s="7" t="s">
        <v>25</v>
      </c>
      <c r="E158" s="34" t="s">
        <v>50</v>
      </c>
      <c r="F158" s="7" t="s">
        <v>27</v>
      </c>
      <c r="G158" s="7" t="s">
        <v>7</v>
      </c>
      <c r="H158" s="7">
        <v>3</v>
      </c>
      <c r="I158" s="7" t="s">
        <v>888</v>
      </c>
      <c r="J158" s="7" t="s">
        <v>800</v>
      </c>
    </row>
    <row r="159" spans="1:10" hidden="1" x14ac:dyDescent="0.35">
      <c r="A159" s="7">
        <f>ROW()-ROW(BARANGKELUAR!$A$3)</f>
        <v>156</v>
      </c>
      <c r="B159" s="7" t="s">
        <v>1144</v>
      </c>
      <c r="C159" s="31">
        <v>45870</v>
      </c>
      <c r="D159" s="7" t="s">
        <v>402</v>
      </c>
      <c r="E159" s="34" t="s">
        <v>403</v>
      </c>
      <c r="F159" s="7" t="s">
        <v>41</v>
      </c>
      <c r="G159" s="7" t="s">
        <v>7</v>
      </c>
      <c r="H159" s="7">
        <v>2</v>
      </c>
      <c r="I159" s="7" t="s">
        <v>809</v>
      </c>
      <c r="J159" s="7" t="s">
        <v>800</v>
      </c>
    </row>
    <row r="160" spans="1:10" hidden="1" x14ac:dyDescent="0.35">
      <c r="A160" s="7">
        <f>ROW()-ROW(BARANGKELUAR!$A$3)</f>
        <v>157</v>
      </c>
      <c r="B160" s="7" t="s">
        <v>1145</v>
      </c>
      <c r="C160" s="31">
        <v>45870</v>
      </c>
      <c r="D160" s="7" t="s">
        <v>760</v>
      </c>
      <c r="E160" s="34" t="s">
        <v>759</v>
      </c>
      <c r="F160" s="7" t="s">
        <v>562</v>
      </c>
      <c r="G160" s="7" t="s">
        <v>7</v>
      </c>
      <c r="H160" s="7">
        <v>1</v>
      </c>
      <c r="I160" s="7" t="s">
        <v>1146</v>
      </c>
      <c r="J160" s="7" t="s">
        <v>1147</v>
      </c>
    </row>
    <row r="161" spans="1:10" hidden="1" x14ac:dyDescent="0.35">
      <c r="A161" s="7">
        <f>ROW()-ROW(BARANGKELUAR!$A$3)</f>
        <v>158</v>
      </c>
      <c r="B161" s="7" t="s">
        <v>1161</v>
      </c>
      <c r="C161" s="31">
        <v>45873</v>
      </c>
      <c r="D161" s="7" t="s">
        <v>92</v>
      </c>
      <c r="E161" s="34" t="s">
        <v>93</v>
      </c>
      <c r="F161" s="7" t="s">
        <v>106</v>
      </c>
      <c r="G161" s="7" t="s">
        <v>7</v>
      </c>
      <c r="H161" s="7">
        <v>1</v>
      </c>
      <c r="I161" s="7" t="s">
        <v>817</v>
      </c>
      <c r="J161" s="7" t="s">
        <v>818</v>
      </c>
    </row>
    <row r="162" spans="1:10" hidden="1" x14ac:dyDescent="0.35">
      <c r="A162" s="7">
        <f>ROW()-ROW(BARANGKELUAR!$A$3)</f>
        <v>159</v>
      </c>
      <c r="B162" s="7" t="s">
        <v>1166</v>
      </c>
      <c r="C162" s="31">
        <v>45873</v>
      </c>
      <c r="D162" s="7" t="s">
        <v>25</v>
      </c>
      <c r="E162" s="34" t="s">
        <v>50</v>
      </c>
      <c r="F162" s="7" t="s">
        <v>27</v>
      </c>
      <c r="G162" s="7" t="s">
        <v>7</v>
      </c>
      <c r="H162" s="7">
        <v>1</v>
      </c>
      <c r="I162" s="7" t="s">
        <v>820</v>
      </c>
      <c r="J162" s="7" t="s">
        <v>800</v>
      </c>
    </row>
    <row r="163" spans="1:10" hidden="1" x14ac:dyDescent="0.35">
      <c r="A163" s="7">
        <f>ROW()-ROW(BARANGKELUAR!$A$3)</f>
        <v>160</v>
      </c>
      <c r="B163" s="7" t="s">
        <v>1162</v>
      </c>
      <c r="C163" s="31">
        <v>45875</v>
      </c>
      <c r="D163" s="7" t="s">
        <v>450</v>
      </c>
      <c r="E163" s="34" t="s">
        <v>451</v>
      </c>
      <c r="F163" s="7" t="s">
        <v>41</v>
      </c>
      <c r="G163" s="7" t="s">
        <v>7</v>
      </c>
      <c r="H163" s="7">
        <v>1</v>
      </c>
      <c r="I163" s="7" t="s">
        <v>837</v>
      </c>
      <c r="J163" s="7" t="s">
        <v>828</v>
      </c>
    </row>
    <row r="164" spans="1:10" hidden="1" x14ac:dyDescent="0.35">
      <c r="A164" s="7">
        <f>ROW()-ROW(BARANGKELUAR!$A$3)</f>
        <v>161</v>
      </c>
      <c r="B164" s="7" t="s">
        <v>1163</v>
      </c>
      <c r="C164" s="31">
        <v>45875</v>
      </c>
      <c r="D164" s="7" t="s">
        <v>119</v>
      </c>
      <c r="E164" s="34" t="s">
        <v>120</v>
      </c>
      <c r="F164" s="7" t="s">
        <v>521</v>
      </c>
      <c r="G164" s="7" t="s">
        <v>7</v>
      </c>
      <c r="H164" s="7">
        <v>1</v>
      </c>
      <c r="I164" s="7" t="s">
        <v>837</v>
      </c>
      <c r="J164" s="7" t="s">
        <v>828</v>
      </c>
    </row>
    <row r="165" spans="1:10" hidden="1" x14ac:dyDescent="0.35">
      <c r="A165" s="7">
        <f>ROW()-ROW(BARANGKELUAR!$A$3)</f>
        <v>162</v>
      </c>
      <c r="B165" s="7" t="s">
        <v>1164</v>
      </c>
      <c r="C165" s="31">
        <v>45876</v>
      </c>
      <c r="D165" s="7" t="s">
        <v>25</v>
      </c>
      <c r="E165" s="34" t="s">
        <v>50</v>
      </c>
      <c r="F165" s="7" t="s">
        <v>27</v>
      </c>
      <c r="G165" s="7" t="s">
        <v>7</v>
      </c>
      <c r="H165" s="7">
        <v>1</v>
      </c>
      <c r="I165" s="7" t="s">
        <v>827</v>
      </c>
      <c r="J165" s="7" t="s">
        <v>828</v>
      </c>
    </row>
    <row r="166" spans="1:10" hidden="1" x14ac:dyDescent="0.35">
      <c r="A166" s="7">
        <f>ROW()-ROW(BARANGKELUAR!$A$3)</f>
        <v>163</v>
      </c>
      <c r="B166" s="7" t="s">
        <v>1165</v>
      </c>
      <c r="C166" s="31">
        <v>45876</v>
      </c>
      <c r="D166" s="7" t="s">
        <v>25</v>
      </c>
      <c r="E166" s="34" t="s">
        <v>50</v>
      </c>
      <c r="F166" s="7" t="s">
        <v>27</v>
      </c>
      <c r="G166" s="7" t="s">
        <v>7</v>
      </c>
      <c r="H166" s="7">
        <v>1</v>
      </c>
      <c r="I166" s="7" t="s">
        <v>822</v>
      </c>
      <c r="J166" s="7" t="s">
        <v>818</v>
      </c>
    </row>
    <row r="167" spans="1:10" hidden="1" x14ac:dyDescent="0.35">
      <c r="A167" s="7">
        <f>ROW()-ROW(BARANGKELUAR!$A$3)</f>
        <v>164</v>
      </c>
      <c r="B167" s="7" t="s">
        <v>1174</v>
      </c>
      <c r="C167" s="31">
        <v>45876</v>
      </c>
      <c r="D167" s="7" t="s">
        <v>743</v>
      </c>
      <c r="E167" s="34" t="s">
        <v>744</v>
      </c>
      <c r="F167" s="7" t="s">
        <v>304</v>
      </c>
      <c r="G167" s="7" t="s">
        <v>7</v>
      </c>
      <c r="H167" s="7">
        <v>1</v>
      </c>
      <c r="I167" s="7" t="s">
        <v>817</v>
      </c>
      <c r="J167" s="7" t="s">
        <v>818</v>
      </c>
    </row>
    <row r="168" spans="1:10" hidden="1" x14ac:dyDescent="0.35">
      <c r="A168" s="7">
        <f>ROW()-ROW(BARANGKELUAR!$A$3)</f>
        <v>165</v>
      </c>
      <c r="B168" s="7" t="s">
        <v>1167</v>
      </c>
      <c r="C168" s="31">
        <v>45877</v>
      </c>
      <c r="D168" s="7" t="s">
        <v>1112</v>
      </c>
      <c r="E168" s="34" t="s">
        <v>1113</v>
      </c>
      <c r="F168" s="7" t="s">
        <v>30</v>
      </c>
      <c r="G168" s="7" t="s">
        <v>7</v>
      </c>
      <c r="H168" s="7">
        <v>1</v>
      </c>
      <c r="I168" s="7" t="s">
        <v>837</v>
      </c>
      <c r="J168" s="7" t="s">
        <v>828</v>
      </c>
    </row>
    <row r="169" spans="1:10" hidden="1" x14ac:dyDescent="0.35">
      <c r="A169" s="7">
        <f>ROW()-ROW(BARANGKELUAR!$A$3)</f>
        <v>166</v>
      </c>
      <c r="B169" s="7" t="s">
        <v>1168</v>
      </c>
      <c r="C169" s="31">
        <v>45877</v>
      </c>
      <c r="D169" s="7" t="s">
        <v>909</v>
      </c>
      <c r="E169" s="34" t="s">
        <v>910</v>
      </c>
      <c r="F169" s="7" t="s">
        <v>911</v>
      </c>
      <c r="G169" s="7" t="s">
        <v>7</v>
      </c>
      <c r="H169" s="7">
        <v>1</v>
      </c>
      <c r="I169" s="7" t="s">
        <v>888</v>
      </c>
      <c r="J169" s="7" t="s">
        <v>800</v>
      </c>
    </row>
    <row r="170" spans="1:10" hidden="1" x14ac:dyDescent="0.35">
      <c r="A170" s="7">
        <f>ROW()-ROW(BARANGKELUAR!$A$3)</f>
        <v>167</v>
      </c>
      <c r="B170" s="7" t="s">
        <v>1169</v>
      </c>
      <c r="C170" s="31">
        <v>45880</v>
      </c>
      <c r="D170" s="7" t="s">
        <v>1149</v>
      </c>
      <c r="E170" s="34" t="s">
        <v>1150</v>
      </c>
      <c r="F170" s="7" t="s">
        <v>35</v>
      </c>
      <c r="G170" s="7" t="s">
        <v>7</v>
      </c>
      <c r="H170" s="7">
        <v>1</v>
      </c>
      <c r="I170" s="7" t="s">
        <v>891</v>
      </c>
      <c r="J170" s="7" t="s">
        <v>835</v>
      </c>
    </row>
    <row r="171" spans="1:10" hidden="1" x14ac:dyDescent="0.35">
      <c r="A171" s="7">
        <f>ROW()-ROW(BARANGKELUAR!$A$3)</f>
        <v>168</v>
      </c>
      <c r="B171" s="7" t="s">
        <v>1170</v>
      </c>
      <c r="C171" s="31">
        <v>45880</v>
      </c>
      <c r="D171" s="7" t="s">
        <v>25</v>
      </c>
      <c r="E171" s="34" t="s">
        <v>50</v>
      </c>
      <c r="F171" s="7" t="s">
        <v>27</v>
      </c>
      <c r="G171" s="7" t="s">
        <v>7</v>
      </c>
      <c r="H171" s="7">
        <v>1</v>
      </c>
      <c r="I171" s="7" t="s">
        <v>822</v>
      </c>
      <c r="J171" s="7" t="s">
        <v>818</v>
      </c>
    </row>
    <row r="172" spans="1:10" hidden="1" x14ac:dyDescent="0.35">
      <c r="A172" s="7">
        <f>ROW()-ROW(BARANGKELUAR!$A$3)</f>
        <v>169</v>
      </c>
      <c r="B172" s="7" t="s">
        <v>1171</v>
      </c>
      <c r="C172" s="31">
        <v>45880</v>
      </c>
      <c r="D172" s="7" t="s">
        <v>938</v>
      </c>
      <c r="E172" s="34" t="s">
        <v>939</v>
      </c>
      <c r="F172" s="7" t="s">
        <v>35</v>
      </c>
      <c r="G172" s="7" t="s">
        <v>7</v>
      </c>
      <c r="H172" s="7">
        <v>1</v>
      </c>
      <c r="I172" s="7" t="s">
        <v>891</v>
      </c>
      <c r="J172" s="7" t="s">
        <v>835</v>
      </c>
    </row>
    <row r="173" spans="1:10" hidden="1" x14ac:dyDescent="0.35">
      <c r="A173" s="7">
        <f>ROW()-ROW(BARANGKELUAR!$A$3)</f>
        <v>170</v>
      </c>
      <c r="B173" s="7" t="s">
        <v>1172</v>
      </c>
      <c r="C173" s="31">
        <v>45880</v>
      </c>
      <c r="D173" s="7" t="s">
        <v>940</v>
      </c>
      <c r="E173" s="34" t="s">
        <v>941</v>
      </c>
      <c r="F173" s="7" t="s">
        <v>35</v>
      </c>
      <c r="G173" s="7" t="s">
        <v>7</v>
      </c>
      <c r="H173" s="7">
        <v>1</v>
      </c>
      <c r="I173" s="7" t="s">
        <v>891</v>
      </c>
      <c r="J173" s="7" t="s">
        <v>835</v>
      </c>
    </row>
    <row r="174" spans="1:10" hidden="1" x14ac:dyDescent="0.35">
      <c r="A174" s="7">
        <f>ROW()-ROW(BARANGKELUAR!$A$3)</f>
        <v>171</v>
      </c>
      <c r="B174" s="7" t="s">
        <v>1173</v>
      </c>
      <c r="C174" s="31">
        <v>45880</v>
      </c>
      <c r="D174" s="7" t="s">
        <v>942</v>
      </c>
      <c r="E174" s="34" t="s">
        <v>943</v>
      </c>
      <c r="F174" s="7" t="s">
        <v>35</v>
      </c>
      <c r="G174" s="7" t="s">
        <v>7</v>
      </c>
      <c r="H174" s="7">
        <v>1</v>
      </c>
      <c r="I174" s="7" t="s">
        <v>891</v>
      </c>
      <c r="J174" s="7" t="s">
        <v>835</v>
      </c>
    </row>
    <row r="175" spans="1:10" hidden="1" x14ac:dyDescent="0.35">
      <c r="A175" s="7">
        <f>ROW()-ROW(BARANGKELUAR!$A$3)</f>
        <v>172</v>
      </c>
      <c r="B175" s="7" t="s">
        <v>1177</v>
      </c>
      <c r="C175" s="31">
        <v>45884</v>
      </c>
      <c r="D175" s="7" t="s">
        <v>665</v>
      </c>
      <c r="E175" s="34" t="s">
        <v>666</v>
      </c>
      <c r="F175" s="7" t="s">
        <v>41</v>
      </c>
      <c r="G175" s="7" t="s">
        <v>7</v>
      </c>
      <c r="H175" s="7">
        <v>1</v>
      </c>
      <c r="I175" s="7" t="s">
        <v>802</v>
      </c>
      <c r="J175" s="7" t="s">
        <v>803</v>
      </c>
    </row>
    <row r="176" spans="1:10" hidden="1" x14ac:dyDescent="0.35">
      <c r="A176" s="7">
        <f>ROW()-ROW(BARANGKELUAR!$A$3)</f>
        <v>173</v>
      </c>
      <c r="B176" s="7" t="s">
        <v>1178</v>
      </c>
      <c r="C176" s="31">
        <v>45888</v>
      </c>
      <c r="D176" s="7" t="s">
        <v>25</v>
      </c>
      <c r="E176" s="34" t="s">
        <v>50</v>
      </c>
      <c r="F176" s="7" t="s">
        <v>27</v>
      </c>
      <c r="G176" s="7" t="s">
        <v>7</v>
      </c>
      <c r="H176" s="7">
        <v>1</v>
      </c>
      <c r="I176" s="7" t="s">
        <v>822</v>
      </c>
      <c r="J176" s="7" t="s">
        <v>818</v>
      </c>
    </row>
    <row r="177" spans="1:10" hidden="1" x14ac:dyDescent="0.35">
      <c r="A177" s="7">
        <f>ROW()-ROW(BARANGKELUAR!$A$3)</f>
        <v>174</v>
      </c>
      <c r="B177" s="7" t="s">
        <v>1179</v>
      </c>
      <c r="C177" s="31">
        <v>45888</v>
      </c>
      <c r="D177" s="7" t="s">
        <v>25</v>
      </c>
      <c r="E177" s="34" t="s">
        <v>50</v>
      </c>
      <c r="F177" s="7" t="s">
        <v>27</v>
      </c>
      <c r="G177" s="7" t="s">
        <v>7</v>
      </c>
      <c r="H177" s="7">
        <v>1</v>
      </c>
      <c r="I177" s="7" t="s">
        <v>820</v>
      </c>
      <c r="J177" s="7" t="s">
        <v>800</v>
      </c>
    </row>
    <row r="178" spans="1:10" hidden="1" x14ac:dyDescent="0.35">
      <c r="A178" s="7">
        <f>ROW()-ROW(BARANGKELUAR!$A$3)</f>
        <v>175</v>
      </c>
      <c r="B178" s="7" t="s">
        <v>1180</v>
      </c>
      <c r="C178" s="31">
        <v>45890</v>
      </c>
      <c r="D178" s="7" t="s">
        <v>931</v>
      </c>
      <c r="E178" s="34" t="s">
        <v>932</v>
      </c>
      <c r="F178" s="7" t="s">
        <v>435</v>
      </c>
      <c r="G178" s="7" t="s">
        <v>7</v>
      </c>
      <c r="H178" s="7">
        <v>1</v>
      </c>
      <c r="I178" s="7" t="s">
        <v>827</v>
      </c>
      <c r="J178" s="7" t="s">
        <v>828</v>
      </c>
    </row>
    <row r="179" spans="1:10" hidden="1" x14ac:dyDescent="0.35">
      <c r="A179" s="7">
        <f>ROW()-ROW(BARANGKELUAR!$A$3)</f>
        <v>176</v>
      </c>
      <c r="B179" s="7" t="s">
        <v>1181</v>
      </c>
      <c r="C179" s="31">
        <v>45890</v>
      </c>
      <c r="D179" s="7" t="s">
        <v>961</v>
      </c>
      <c r="E179" s="34" t="s">
        <v>962</v>
      </c>
      <c r="F179" s="7" t="s">
        <v>106</v>
      </c>
      <c r="G179" s="7" t="s">
        <v>7</v>
      </c>
      <c r="H179" s="7">
        <v>1</v>
      </c>
      <c r="I179" s="7" t="s">
        <v>799</v>
      </c>
      <c r="J179" s="7" t="s">
        <v>800</v>
      </c>
    </row>
    <row r="180" spans="1:10" hidden="1" x14ac:dyDescent="0.35">
      <c r="A180" s="7">
        <f>ROW()-ROW(BARANGKELUAR!$A$3)</f>
        <v>177</v>
      </c>
      <c r="B180" s="7" t="s">
        <v>1182</v>
      </c>
      <c r="C180" s="31">
        <v>45890</v>
      </c>
      <c r="D180" s="7" t="s">
        <v>961</v>
      </c>
      <c r="E180" s="34" t="s">
        <v>962</v>
      </c>
      <c r="F180" s="7" t="s">
        <v>106</v>
      </c>
      <c r="G180" s="7" t="s">
        <v>7</v>
      </c>
      <c r="H180" s="7">
        <v>1</v>
      </c>
      <c r="I180" s="7" t="s">
        <v>883</v>
      </c>
      <c r="J180" s="7" t="s">
        <v>806</v>
      </c>
    </row>
    <row r="181" spans="1:10" hidden="1" x14ac:dyDescent="0.35">
      <c r="A181" s="7">
        <f>ROW()-ROW(BARANGKELUAR!$A$3)</f>
        <v>178</v>
      </c>
      <c r="B181" s="7" t="s">
        <v>1183</v>
      </c>
      <c r="C181" s="31">
        <v>45891</v>
      </c>
      <c r="D181" s="7" t="s">
        <v>25</v>
      </c>
      <c r="E181" s="34" t="s">
        <v>50</v>
      </c>
      <c r="F181" s="7" t="s">
        <v>27</v>
      </c>
      <c r="G181" s="7" t="s">
        <v>7</v>
      </c>
      <c r="H181" s="7">
        <v>1</v>
      </c>
      <c r="I181" s="7" t="s">
        <v>891</v>
      </c>
      <c r="J181" s="7" t="s">
        <v>835</v>
      </c>
    </row>
    <row r="182" spans="1:10" hidden="1" x14ac:dyDescent="0.35">
      <c r="A182" s="7">
        <f>ROW()-ROW(BARANGKELUAR!$A$3)</f>
        <v>179</v>
      </c>
      <c r="B182" s="7" t="s">
        <v>1184</v>
      </c>
      <c r="C182" s="31">
        <v>45893</v>
      </c>
      <c r="D182" s="7" t="s">
        <v>1114</v>
      </c>
      <c r="E182" s="34" t="s">
        <v>1115</v>
      </c>
      <c r="F182" s="7" t="s">
        <v>562</v>
      </c>
      <c r="G182" s="7" t="s">
        <v>7</v>
      </c>
      <c r="H182" s="7">
        <v>1</v>
      </c>
      <c r="I182" s="7" t="s">
        <v>827</v>
      </c>
      <c r="J182" s="7" t="s">
        <v>828</v>
      </c>
    </row>
    <row r="183" spans="1:10" hidden="1" x14ac:dyDescent="0.35">
      <c r="A183" s="7">
        <f>ROW()-ROW(BARANGKELUAR!$A$3)</f>
        <v>180</v>
      </c>
      <c r="B183" s="7" t="s">
        <v>1185</v>
      </c>
      <c r="C183" s="31">
        <v>45894</v>
      </c>
      <c r="D183" s="7" t="s">
        <v>25</v>
      </c>
      <c r="E183" s="34" t="s">
        <v>50</v>
      </c>
      <c r="F183" s="7" t="s">
        <v>27</v>
      </c>
      <c r="G183" s="7" t="s">
        <v>7</v>
      </c>
      <c r="H183" s="7">
        <v>1</v>
      </c>
      <c r="I183" s="7" t="s">
        <v>827</v>
      </c>
      <c r="J183" s="7" t="s">
        <v>828</v>
      </c>
    </row>
    <row r="184" spans="1:10" hidden="1" x14ac:dyDescent="0.35">
      <c r="A184" s="7">
        <f>ROW()-ROW(BARANGKELUAR!$A$3)</f>
        <v>181</v>
      </c>
      <c r="B184" s="7" t="s">
        <v>1186</v>
      </c>
      <c r="C184" s="31">
        <v>45894</v>
      </c>
      <c r="D184" s="7" t="s">
        <v>963</v>
      </c>
      <c r="E184" s="34" t="s">
        <v>964</v>
      </c>
      <c r="F184" s="7" t="s">
        <v>304</v>
      </c>
      <c r="G184" s="7" t="s">
        <v>7</v>
      </c>
      <c r="H184" s="7">
        <v>1</v>
      </c>
      <c r="I184" s="7" t="s">
        <v>1187</v>
      </c>
      <c r="J184" s="7" t="s">
        <v>818</v>
      </c>
    </row>
    <row r="185" spans="1:10" hidden="1" x14ac:dyDescent="0.35">
      <c r="A185" s="7">
        <f>ROW()-ROW(BARANGKELUAR!$A$3)</f>
        <v>182</v>
      </c>
      <c r="B185" s="7" t="s">
        <v>1188</v>
      </c>
      <c r="C185" s="31">
        <v>45894</v>
      </c>
      <c r="D185" s="7" t="s">
        <v>446</v>
      </c>
      <c r="E185" s="34" t="s">
        <v>447</v>
      </c>
      <c r="F185" s="7" t="s">
        <v>106</v>
      </c>
      <c r="G185" s="7" t="s">
        <v>7</v>
      </c>
      <c r="H185" s="7">
        <v>1</v>
      </c>
      <c r="I185" s="7" t="s">
        <v>799</v>
      </c>
      <c r="J185" s="7" t="s">
        <v>800</v>
      </c>
    </row>
    <row r="186" spans="1:10" hidden="1" x14ac:dyDescent="0.35">
      <c r="A186" s="7">
        <f>ROW()-ROW(BARANGKELUAR!$A$3)</f>
        <v>183</v>
      </c>
      <c r="B186" s="7" t="s">
        <v>1189</v>
      </c>
      <c r="C186" s="31">
        <v>45897</v>
      </c>
      <c r="D186" s="7" t="s">
        <v>25</v>
      </c>
      <c r="E186" s="34" t="s">
        <v>50</v>
      </c>
      <c r="F186" s="7" t="s">
        <v>27</v>
      </c>
      <c r="G186" s="7" t="s">
        <v>7</v>
      </c>
      <c r="H186" s="7">
        <v>1</v>
      </c>
      <c r="I186" s="7" t="s">
        <v>812</v>
      </c>
      <c r="J186" s="7" t="s">
        <v>803</v>
      </c>
    </row>
    <row r="187" spans="1:10" hidden="1" x14ac:dyDescent="0.35">
      <c r="A187" s="7">
        <f>ROW()-ROW(BARANGKELUAR!$A$3)</f>
        <v>184</v>
      </c>
      <c r="B187" s="7" t="s">
        <v>1190</v>
      </c>
      <c r="C187" s="31">
        <v>45898</v>
      </c>
      <c r="D187" s="7" t="s">
        <v>643</v>
      </c>
      <c r="E187" s="34" t="s">
        <v>644</v>
      </c>
      <c r="F187" s="7" t="s">
        <v>562</v>
      </c>
      <c r="G187" s="7" t="s">
        <v>7</v>
      </c>
      <c r="H187" s="7">
        <v>1</v>
      </c>
      <c r="I187" s="7" t="s">
        <v>814</v>
      </c>
      <c r="J187" s="7" t="s">
        <v>806</v>
      </c>
    </row>
    <row r="188" spans="1:10" hidden="1" x14ac:dyDescent="0.35">
      <c r="A188" s="7">
        <f>ROW()-ROW(BARANGKELUAR!$A$3)</f>
        <v>185</v>
      </c>
      <c r="B188" s="7" t="s">
        <v>1191</v>
      </c>
      <c r="C188" s="31">
        <v>45898</v>
      </c>
      <c r="D188" s="7" t="s">
        <v>638</v>
      </c>
      <c r="E188" s="34" t="s">
        <v>639</v>
      </c>
      <c r="F188" s="7" t="s">
        <v>562</v>
      </c>
      <c r="G188" s="7" t="s">
        <v>7</v>
      </c>
      <c r="H188" s="7">
        <v>1</v>
      </c>
      <c r="I188" s="7" t="s">
        <v>812</v>
      </c>
      <c r="J188" s="7" t="s">
        <v>803</v>
      </c>
    </row>
    <row r="189" spans="1:10" hidden="1" x14ac:dyDescent="0.35">
      <c r="A189" s="7">
        <f>ROW()-ROW(BARANGKELUAR!$A$3)</f>
        <v>186</v>
      </c>
      <c r="B189" s="7" t="s">
        <v>1192</v>
      </c>
      <c r="C189" s="31">
        <v>45902</v>
      </c>
      <c r="D189" s="7" t="s">
        <v>1118</v>
      </c>
      <c r="E189" s="34" t="s">
        <v>1119</v>
      </c>
      <c r="F189" s="7" t="s">
        <v>106</v>
      </c>
      <c r="G189" s="7" t="s">
        <v>7</v>
      </c>
      <c r="H189" s="7">
        <v>2</v>
      </c>
      <c r="I189" s="7" t="s">
        <v>1187</v>
      </c>
      <c r="J189" s="7" t="s">
        <v>818</v>
      </c>
    </row>
    <row r="190" spans="1:10" hidden="1" x14ac:dyDescent="0.35">
      <c r="A190" s="7">
        <f>ROW()-ROW(BARANGKELUAR!$A$3)</f>
        <v>187</v>
      </c>
      <c r="B190" s="7" t="s">
        <v>1193</v>
      </c>
      <c r="C190" s="31">
        <v>45902</v>
      </c>
      <c r="D190" s="7" t="s">
        <v>119</v>
      </c>
      <c r="E190" s="34" t="s">
        <v>120</v>
      </c>
      <c r="F190" s="7" t="s">
        <v>521</v>
      </c>
      <c r="G190" s="7" t="s">
        <v>7</v>
      </c>
      <c r="H190" s="7">
        <v>2</v>
      </c>
      <c r="I190" s="7" t="s">
        <v>1187</v>
      </c>
      <c r="J190" s="7" t="s">
        <v>818</v>
      </c>
    </row>
    <row r="191" spans="1:10" hidden="1" x14ac:dyDescent="0.35">
      <c r="A191" s="7">
        <f>ROW()-ROW(BARANGKELUAR!$A$3)</f>
        <v>188</v>
      </c>
      <c r="B191" s="7" t="s">
        <v>1194</v>
      </c>
      <c r="C191" s="31">
        <v>45903</v>
      </c>
      <c r="D191" s="7" t="s">
        <v>25</v>
      </c>
      <c r="E191" s="34" t="s">
        <v>50</v>
      </c>
      <c r="F191" s="7" t="s">
        <v>27</v>
      </c>
      <c r="G191" s="7" t="s">
        <v>7</v>
      </c>
      <c r="H191" s="7">
        <v>1</v>
      </c>
      <c r="I191" s="7" t="s">
        <v>900</v>
      </c>
      <c r="J191" s="7" t="s">
        <v>800</v>
      </c>
    </row>
    <row r="192" spans="1:10" hidden="1" x14ac:dyDescent="0.35">
      <c r="A192" s="7">
        <f>ROW()-ROW(BARANGKELUAR!$A$3)</f>
        <v>189</v>
      </c>
      <c r="B192" s="7" t="s">
        <v>1195</v>
      </c>
      <c r="C192" s="31">
        <v>45904</v>
      </c>
      <c r="D192" s="7" t="s">
        <v>28</v>
      </c>
      <c r="E192" s="34" t="s">
        <v>51</v>
      </c>
      <c r="F192" s="7" t="s">
        <v>35</v>
      </c>
      <c r="G192" s="7" t="s">
        <v>7</v>
      </c>
      <c r="H192" s="7">
        <v>1</v>
      </c>
      <c r="I192" s="7" t="s">
        <v>827</v>
      </c>
      <c r="J192" s="7" t="s">
        <v>828</v>
      </c>
    </row>
    <row r="193" spans="1:10" hidden="1" x14ac:dyDescent="0.35">
      <c r="A193" s="7">
        <f>ROW()-ROW(BARANGKELUAR!$A$3)</f>
        <v>190</v>
      </c>
      <c r="B193" s="7" t="s">
        <v>1196</v>
      </c>
      <c r="C193" s="31">
        <v>45904</v>
      </c>
      <c r="D193" s="7" t="s">
        <v>119</v>
      </c>
      <c r="E193" s="34" t="s">
        <v>120</v>
      </c>
      <c r="F193" s="7" t="s">
        <v>521</v>
      </c>
      <c r="G193" s="7" t="s">
        <v>7</v>
      </c>
      <c r="H193" s="7">
        <v>1</v>
      </c>
      <c r="I193" s="7" t="s">
        <v>805</v>
      </c>
      <c r="J193" s="7" t="s">
        <v>806</v>
      </c>
    </row>
    <row r="194" spans="1:10" hidden="1" x14ac:dyDescent="0.35">
      <c r="A194" s="7">
        <f>ROW()-ROW(BARANGKELUAR!$A$3)</f>
        <v>191</v>
      </c>
      <c r="B194" s="7" t="s">
        <v>1197</v>
      </c>
      <c r="C194" s="31">
        <v>45904</v>
      </c>
      <c r="D194" s="7" t="s">
        <v>869</v>
      </c>
      <c r="E194" s="34" t="s">
        <v>870</v>
      </c>
      <c r="F194" s="7" t="s">
        <v>304</v>
      </c>
      <c r="G194" s="7" t="s">
        <v>7</v>
      </c>
      <c r="H194" s="7">
        <v>1</v>
      </c>
      <c r="I194" s="7" t="s">
        <v>805</v>
      </c>
      <c r="J194" s="7" t="s">
        <v>806</v>
      </c>
    </row>
    <row r="195" spans="1:10" hidden="1" x14ac:dyDescent="0.35">
      <c r="A195" s="7">
        <f>ROW()-ROW(BARANGKELUAR!$A$3)</f>
        <v>192</v>
      </c>
      <c r="B195" s="7" t="s">
        <v>1198</v>
      </c>
      <c r="C195" s="31">
        <v>45904</v>
      </c>
      <c r="D195" s="7" t="s">
        <v>458</v>
      </c>
      <c r="E195" s="34" t="s">
        <v>459</v>
      </c>
      <c r="F195" s="7" t="s">
        <v>30</v>
      </c>
      <c r="G195" s="7" t="s">
        <v>7</v>
      </c>
      <c r="H195" s="7">
        <v>1</v>
      </c>
      <c r="I195" s="7" t="s">
        <v>805</v>
      </c>
      <c r="J195" s="7" t="s">
        <v>806</v>
      </c>
    </row>
    <row r="196" spans="1:10" hidden="1" x14ac:dyDescent="0.35">
      <c r="A196" s="7">
        <f>ROW()-ROW(BARANGKELUAR!$A$3)</f>
        <v>193</v>
      </c>
      <c r="B196" s="7" t="s">
        <v>1199</v>
      </c>
      <c r="C196" s="31">
        <v>45904</v>
      </c>
      <c r="D196" s="7" t="s">
        <v>961</v>
      </c>
      <c r="E196" s="34" t="s">
        <v>962</v>
      </c>
      <c r="F196" s="7" t="s">
        <v>106</v>
      </c>
      <c r="G196" s="7" t="s">
        <v>7</v>
      </c>
      <c r="H196" s="7">
        <v>1</v>
      </c>
      <c r="I196" s="7" t="s">
        <v>805</v>
      </c>
      <c r="J196" s="7" t="s">
        <v>806</v>
      </c>
    </row>
    <row r="197" spans="1:10" hidden="1" x14ac:dyDescent="0.35">
      <c r="A197" s="7">
        <f>ROW()-ROW(BARANGKELUAR!$A$3)</f>
        <v>194</v>
      </c>
      <c r="B197" s="7" t="s">
        <v>1200</v>
      </c>
      <c r="C197" s="31">
        <v>45904</v>
      </c>
      <c r="D197" s="7" t="s">
        <v>25</v>
      </c>
      <c r="E197" s="34" t="s">
        <v>50</v>
      </c>
      <c r="F197" s="7" t="s">
        <v>27</v>
      </c>
      <c r="G197" s="7" t="s">
        <v>7</v>
      </c>
      <c r="H197" s="7">
        <v>1</v>
      </c>
      <c r="I197" s="7" t="s">
        <v>812</v>
      </c>
      <c r="J197" s="7" t="s">
        <v>803</v>
      </c>
    </row>
    <row r="198" spans="1:10" hidden="1" x14ac:dyDescent="0.35">
      <c r="A198" s="7">
        <f>ROW()-ROW(BARANGKELUAR!$A$3)</f>
        <v>195</v>
      </c>
      <c r="B198" s="7" t="s">
        <v>1201</v>
      </c>
      <c r="C198" s="31">
        <v>45904</v>
      </c>
      <c r="D198" s="7" t="s">
        <v>25</v>
      </c>
      <c r="E198" s="34" t="s">
        <v>50</v>
      </c>
      <c r="F198" s="7" t="s">
        <v>27</v>
      </c>
      <c r="G198" s="7" t="s">
        <v>7</v>
      </c>
      <c r="H198" s="7">
        <v>1</v>
      </c>
      <c r="I198" s="7" t="s">
        <v>827</v>
      </c>
      <c r="J198" s="7" t="s">
        <v>828</v>
      </c>
    </row>
    <row r="199" spans="1:10" hidden="1" x14ac:dyDescent="0.35">
      <c r="A199" s="7">
        <f>ROW()-ROW(BARANGKELUAR!$A$3)</f>
        <v>196</v>
      </c>
      <c r="B199" s="7" t="s">
        <v>1202</v>
      </c>
      <c r="C199" s="31">
        <v>45904</v>
      </c>
      <c r="D199" s="7" t="s">
        <v>25</v>
      </c>
      <c r="E199" s="34" t="s">
        <v>50</v>
      </c>
      <c r="F199" s="7" t="s">
        <v>27</v>
      </c>
      <c r="G199" s="7" t="s">
        <v>7</v>
      </c>
      <c r="H199" s="7">
        <v>5</v>
      </c>
      <c r="I199" s="7" t="s">
        <v>888</v>
      </c>
      <c r="J199" s="7" t="s">
        <v>800</v>
      </c>
    </row>
    <row r="200" spans="1:10" hidden="1" x14ac:dyDescent="0.35">
      <c r="A200" s="7">
        <f>ROW()-ROW(BARANGKELUAR!$A$3)</f>
        <v>197</v>
      </c>
      <c r="B200" s="7" t="s">
        <v>1204</v>
      </c>
      <c r="C200" s="31">
        <v>45910</v>
      </c>
      <c r="D200" s="7" t="s">
        <v>25</v>
      </c>
      <c r="E200" s="34" t="s">
        <v>50</v>
      </c>
      <c r="F200" s="7" t="s">
        <v>27</v>
      </c>
      <c r="G200" s="7" t="s">
        <v>7</v>
      </c>
      <c r="H200" s="7">
        <v>1</v>
      </c>
      <c r="I200" s="7" t="s">
        <v>820</v>
      </c>
      <c r="J200" s="7" t="s">
        <v>800</v>
      </c>
    </row>
    <row r="201" spans="1:10" hidden="1" x14ac:dyDescent="0.35">
      <c r="A201" s="7">
        <f>ROW()-ROW(BARANGKELUAR!$A$3)</f>
        <v>198</v>
      </c>
      <c r="B201" s="7" t="s">
        <v>1205</v>
      </c>
      <c r="C201" s="31">
        <v>45910</v>
      </c>
      <c r="D201" s="7" t="s">
        <v>119</v>
      </c>
      <c r="E201" s="34" t="s">
        <v>120</v>
      </c>
      <c r="F201" s="7" t="s">
        <v>521</v>
      </c>
      <c r="G201" s="7" t="s">
        <v>7</v>
      </c>
      <c r="H201" s="7">
        <v>1</v>
      </c>
      <c r="I201" s="7" t="s">
        <v>812</v>
      </c>
      <c r="J201" s="7" t="s">
        <v>803</v>
      </c>
    </row>
    <row r="202" spans="1:10" hidden="1" x14ac:dyDescent="0.35">
      <c r="A202" s="7">
        <f>ROW()-ROW(BARANGKELUAR!$A$3)</f>
        <v>199</v>
      </c>
      <c r="B202" s="7" t="s">
        <v>1206</v>
      </c>
      <c r="C202" s="31">
        <v>45910</v>
      </c>
      <c r="D202" s="7" t="s">
        <v>957</v>
      </c>
      <c r="E202" s="34" t="s">
        <v>958</v>
      </c>
      <c r="F202" s="7" t="s">
        <v>106</v>
      </c>
      <c r="G202" s="7" t="s">
        <v>7</v>
      </c>
      <c r="H202" s="7">
        <v>1</v>
      </c>
      <c r="I202" s="7" t="s">
        <v>812</v>
      </c>
      <c r="J202" s="7" t="s">
        <v>803</v>
      </c>
    </row>
    <row r="203" spans="1:10" hidden="1" x14ac:dyDescent="0.35">
      <c r="A203" s="7">
        <f>ROW()-ROW(BARANGKELUAR!$A$3)</f>
        <v>200</v>
      </c>
      <c r="B203" s="7" t="s">
        <v>1207</v>
      </c>
      <c r="C203" s="31">
        <v>45915</v>
      </c>
      <c r="D203" s="7" t="s">
        <v>961</v>
      </c>
      <c r="E203" s="34" t="s">
        <v>962</v>
      </c>
      <c r="F203" s="7" t="s">
        <v>106</v>
      </c>
      <c r="G203" s="7" t="s">
        <v>7</v>
      </c>
      <c r="H203" s="7">
        <v>1</v>
      </c>
      <c r="I203" s="7" t="s">
        <v>822</v>
      </c>
      <c r="J203" s="7" t="s">
        <v>818</v>
      </c>
    </row>
    <row r="204" spans="1:10" hidden="1" x14ac:dyDescent="0.35">
      <c r="A204" s="7">
        <f>ROW()-ROW(BARANGKELUAR!$A$3)</f>
        <v>201</v>
      </c>
      <c r="B204" s="7" t="s">
        <v>1208</v>
      </c>
      <c r="C204" s="31">
        <v>45915</v>
      </c>
      <c r="D204" s="7" t="s">
        <v>863</v>
      </c>
      <c r="E204" s="34" t="s">
        <v>864</v>
      </c>
      <c r="F204" s="7" t="s">
        <v>562</v>
      </c>
      <c r="G204" s="7" t="s">
        <v>7</v>
      </c>
      <c r="H204" s="7">
        <v>1</v>
      </c>
      <c r="I204" s="7" t="s">
        <v>812</v>
      </c>
      <c r="J204" s="7" t="s">
        <v>803</v>
      </c>
    </row>
    <row r="205" spans="1:10" hidden="1" x14ac:dyDescent="0.35">
      <c r="A205" s="7">
        <f>ROW()-ROW(BARANGKELUAR!$A$3)</f>
        <v>202</v>
      </c>
      <c r="B205" s="7" t="s">
        <v>1209</v>
      </c>
      <c r="C205" s="31">
        <v>45916</v>
      </c>
      <c r="D205" s="7" t="s">
        <v>436</v>
      </c>
      <c r="E205" s="34" t="s">
        <v>437</v>
      </c>
      <c r="F205" s="7" t="s">
        <v>41</v>
      </c>
      <c r="G205" s="7" t="s">
        <v>7</v>
      </c>
      <c r="H205" s="7">
        <v>1</v>
      </c>
      <c r="I205" s="7" t="s">
        <v>817</v>
      </c>
      <c r="J205" s="7" t="s">
        <v>818</v>
      </c>
    </row>
    <row r="206" spans="1:10" hidden="1" x14ac:dyDescent="0.35">
      <c r="A206" s="7">
        <f>ROW()-ROW(BARANGKELUAR!$A$3)</f>
        <v>203</v>
      </c>
      <c r="B206" s="7" t="s">
        <v>1210</v>
      </c>
      <c r="C206" s="31">
        <v>45916</v>
      </c>
      <c r="D206" s="7" t="s">
        <v>863</v>
      </c>
      <c r="E206" s="34" t="s">
        <v>864</v>
      </c>
      <c r="F206" s="7" t="s">
        <v>562</v>
      </c>
      <c r="G206" s="7" t="s">
        <v>7</v>
      </c>
      <c r="H206" s="7">
        <v>1</v>
      </c>
      <c r="I206" s="7" t="s">
        <v>814</v>
      </c>
      <c r="J206" s="7" t="s">
        <v>806</v>
      </c>
    </row>
    <row r="207" spans="1:10" hidden="1" x14ac:dyDescent="0.35">
      <c r="A207" s="7">
        <f>ROW()-ROW(BARANGKELUAR!$A$3)</f>
        <v>204</v>
      </c>
      <c r="B207" s="7" t="s">
        <v>1211</v>
      </c>
      <c r="C207" s="31">
        <v>45916</v>
      </c>
      <c r="D207" s="7" t="s">
        <v>25</v>
      </c>
      <c r="E207" s="34" t="s">
        <v>50</v>
      </c>
      <c r="F207" s="7" t="s">
        <v>27</v>
      </c>
      <c r="G207" s="7" t="s">
        <v>7</v>
      </c>
      <c r="H207" s="7">
        <v>1</v>
      </c>
      <c r="I207" s="7" t="s">
        <v>812</v>
      </c>
      <c r="J207" s="7" t="s">
        <v>803</v>
      </c>
    </row>
    <row r="208" spans="1:10" hidden="1" x14ac:dyDescent="0.35">
      <c r="A208" s="7">
        <f>ROW()-ROW(BARANGKELUAR!$A$3)</f>
        <v>205</v>
      </c>
      <c r="B208" s="7" t="s">
        <v>1216</v>
      </c>
      <c r="C208" s="31">
        <v>45919</v>
      </c>
      <c r="D208" s="7" t="s">
        <v>198</v>
      </c>
      <c r="E208" s="34" t="s">
        <v>199</v>
      </c>
      <c r="F208" s="7" t="s">
        <v>106</v>
      </c>
      <c r="G208" s="7" t="s">
        <v>7</v>
      </c>
      <c r="H208" s="7">
        <v>2</v>
      </c>
      <c r="I208" s="7" t="s">
        <v>891</v>
      </c>
      <c r="J208" s="7" t="s">
        <v>835</v>
      </c>
    </row>
    <row r="209" spans="1:10" hidden="1" x14ac:dyDescent="0.35">
      <c r="A209" s="7">
        <f>ROW()-ROW(BARANGKELUAR!$A$3)</f>
        <v>206</v>
      </c>
      <c r="B209" s="7" t="s">
        <v>1212</v>
      </c>
      <c r="C209" s="31">
        <v>45919</v>
      </c>
      <c r="D209" s="7" t="s">
        <v>1112</v>
      </c>
      <c r="E209" s="34" t="s">
        <v>1113</v>
      </c>
      <c r="F209" s="7" t="s">
        <v>30</v>
      </c>
      <c r="G209" s="7" t="s">
        <v>7</v>
      </c>
      <c r="H209" s="7">
        <v>1</v>
      </c>
      <c r="I209" s="7" t="s">
        <v>1187</v>
      </c>
      <c r="J209" s="7" t="s">
        <v>818</v>
      </c>
    </row>
    <row r="210" spans="1:10" hidden="1" x14ac:dyDescent="0.35">
      <c r="A210" s="7">
        <f>ROW()-ROW(BARANGKELUAR!$A$3)</f>
        <v>207</v>
      </c>
      <c r="B210" s="7" t="s">
        <v>1213</v>
      </c>
      <c r="C210" s="31">
        <v>45919</v>
      </c>
      <c r="D210" s="7" t="s">
        <v>25</v>
      </c>
      <c r="E210" s="34" t="s">
        <v>50</v>
      </c>
      <c r="F210" s="7" t="s">
        <v>27</v>
      </c>
      <c r="G210" s="7" t="s">
        <v>7</v>
      </c>
      <c r="H210" s="7">
        <v>1</v>
      </c>
      <c r="I210" s="7" t="s">
        <v>822</v>
      </c>
      <c r="J210" s="7" t="s">
        <v>818</v>
      </c>
    </row>
    <row r="211" spans="1:10" hidden="1" x14ac:dyDescent="0.35">
      <c r="A211" s="7">
        <f>ROW()-ROW(BARANGKELUAR!$A$3)</f>
        <v>208</v>
      </c>
      <c r="B211" s="7" t="s">
        <v>1214</v>
      </c>
      <c r="C211" s="31">
        <v>45922</v>
      </c>
      <c r="D211" s="7" t="s">
        <v>25</v>
      </c>
      <c r="E211" s="34" t="s">
        <v>50</v>
      </c>
      <c r="F211" s="7" t="s">
        <v>27</v>
      </c>
      <c r="G211" s="7" t="s">
        <v>7</v>
      </c>
      <c r="H211" s="7">
        <v>1</v>
      </c>
      <c r="I211" s="7" t="s">
        <v>820</v>
      </c>
      <c r="J211" s="7" t="s">
        <v>800</v>
      </c>
    </row>
    <row r="212" spans="1:10" hidden="1" x14ac:dyDescent="0.35">
      <c r="A212" s="7">
        <f>ROW()-ROW(BARANGKELUAR!$A$3)</f>
        <v>209</v>
      </c>
      <c r="B212" s="7" t="s">
        <v>1217</v>
      </c>
      <c r="C212" s="31">
        <v>45922</v>
      </c>
      <c r="D212" s="7" t="s">
        <v>341</v>
      </c>
      <c r="E212" s="34" t="s">
        <v>342</v>
      </c>
      <c r="F212" s="7" t="s">
        <v>30</v>
      </c>
      <c r="G212" s="7" t="s">
        <v>7</v>
      </c>
      <c r="H212" s="7">
        <v>1</v>
      </c>
      <c r="I212" s="7" t="s">
        <v>900</v>
      </c>
      <c r="J212" s="7" t="s">
        <v>800</v>
      </c>
    </row>
    <row r="213" spans="1:10" hidden="1" x14ac:dyDescent="0.35">
      <c r="A213" s="7">
        <f>ROW()-ROW(BARANGKELUAR!$A$3)</f>
        <v>210</v>
      </c>
      <c r="B213" s="7" t="s">
        <v>1218</v>
      </c>
      <c r="C213" s="31">
        <v>45924</v>
      </c>
      <c r="D213" s="7" t="s">
        <v>25</v>
      </c>
      <c r="E213" s="34" t="s">
        <v>50</v>
      </c>
      <c r="F213" s="7" t="s">
        <v>27</v>
      </c>
      <c r="G213" s="7" t="s">
        <v>7</v>
      </c>
      <c r="H213" s="7">
        <v>1</v>
      </c>
      <c r="I213" s="7" t="s">
        <v>822</v>
      </c>
      <c r="J213" s="7" t="s">
        <v>818</v>
      </c>
    </row>
    <row r="214" spans="1:10" hidden="1" x14ac:dyDescent="0.35">
      <c r="A214" s="7">
        <f>ROW()-ROW(BARANGKELUAR!$A$3)</f>
        <v>211</v>
      </c>
      <c r="B214" s="7" t="s">
        <v>1219</v>
      </c>
      <c r="C214" s="31">
        <v>45929</v>
      </c>
      <c r="D214" s="7" t="s">
        <v>25</v>
      </c>
      <c r="E214" s="34" t="s">
        <v>50</v>
      </c>
      <c r="F214" s="7" t="s">
        <v>27</v>
      </c>
      <c r="G214" s="7" t="s">
        <v>7</v>
      </c>
      <c r="H214" s="7">
        <v>1</v>
      </c>
      <c r="I214" s="7" t="s">
        <v>820</v>
      </c>
      <c r="J214" s="7" t="s">
        <v>800</v>
      </c>
    </row>
    <row r="215" spans="1:10" hidden="1" x14ac:dyDescent="0.35">
      <c r="A215" s="7">
        <f>ROW()-ROW(BARANGKELUAR!$A$3)</f>
        <v>212</v>
      </c>
      <c r="B215" s="7" t="s">
        <v>1220</v>
      </c>
      <c r="C215" s="31">
        <v>45929</v>
      </c>
      <c r="D215" s="7" t="s">
        <v>25</v>
      </c>
      <c r="E215" s="34" t="s">
        <v>50</v>
      </c>
      <c r="F215" s="7" t="s">
        <v>27</v>
      </c>
      <c r="G215" s="7" t="s">
        <v>7</v>
      </c>
      <c r="H215" s="7">
        <v>1</v>
      </c>
      <c r="I215" s="7" t="s">
        <v>820</v>
      </c>
      <c r="J215" s="7" t="s">
        <v>800</v>
      </c>
    </row>
    <row r="216" spans="1:10" hidden="1" x14ac:dyDescent="0.35">
      <c r="A216" s="7">
        <f>ROW()-ROW(BARANGKELUAR!$A$3)</f>
        <v>213</v>
      </c>
      <c r="B216" s="7" t="s">
        <v>1221</v>
      </c>
      <c r="C216" s="31">
        <v>45930</v>
      </c>
      <c r="D216" s="7" t="s">
        <v>1112</v>
      </c>
      <c r="E216" s="34" t="s">
        <v>1113</v>
      </c>
      <c r="F216" s="7" t="s">
        <v>30</v>
      </c>
      <c r="G216" s="7" t="s">
        <v>7</v>
      </c>
      <c r="H216" s="7">
        <v>1</v>
      </c>
      <c r="I216" s="7" t="s">
        <v>900</v>
      </c>
      <c r="J216" s="7" t="s">
        <v>800</v>
      </c>
    </row>
    <row r="217" spans="1:10" hidden="1" x14ac:dyDescent="0.35">
      <c r="A217" s="7">
        <f>ROW()-ROW(BARANGKELUAR!$A$3)</f>
        <v>214</v>
      </c>
      <c r="B217" s="7" t="s">
        <v>1222</v>
      </c>
      <c r="C217" s="31">
        <v>45931</v>
      </c>
      <c r="D217" s="7" t="s">
        <v>25</v>
      </c>
      <c r="E217" s="34" t="s">
        <v>50</v>
      </c>
      <c r="F217" s="7" t="s">
        <v>27</v>
      </c>
      <c r="G217" s="7" t="s">
        <v>7</v>
      </c>
      <c r="H217" s="7">
        <v>1</v>
      </c>
      <c r="I217" s="7" t="s">
        <v>812</v>
      </c>
      <c r="J217" s="7" t="s">
        <v>803</v>
      </c>
    </row>
    <row r="218" spans="1:10" hidden="1" x14ac:dyDescent="0.35">
      <c r="A218" s="7">
        <f>ROW()-ROW(BARANGKELUAR!$A$3)</f>
        <v>215</v>
      </c>
      <c r="B218" s="7" t="s">
        <v>1223</v>
      </c>
      <c r="C218" s="31">
        <v>45932</v>
      </c>
      <c r="D218" s="7" t="s">
        <v>1118</v>
      </c>
      <c r="E218" s="34" t="s">
        <v>1119</v>
      </c>
      <c r="F218" s="7" t="s">
        <v>106</v>
      </c>
      <c r="G218" s="7" t="s">
        <v>7</v>
      </c>
      <c r="H218" s="7">
        <v>2</v>
      </c>
      <c r="I218" s="7" t="s">
        <v>1224</v>
      </c>
      <c r="J218" s="7" t="s">
        <v>800</v>
      </c>
    </row>
    <row r="219" spans="1:10" hidden="1" x14ac:dyDescent="0.35">
      <c r="A219" s="7">
        <f>ROW()-ROW(BARANGKELUAR!$A$3)</f>
        <v>216</v>
      </c>
      <c r="B219" s="7" t="s">
        <v>1225</v>
      </c>
      <c r="C219" s="31">
        <v>45932</v>
      </c>
      <c r="D219" s="7" t="s">
        <v>865</v>
      </c>
      <c r="E219" s="34" t="s">
        <v>866</v>
      </c>
      <c r="F219" s="7" t="s">
        <v>562</v>
      </c>
      <c r="G219" s="7" t="s">
        <v>7</v>
      </c>
      <c r="H219" s="7">
        <v>1</v>
      </c>
      <c r="I219" s="7" t="s">
        <v>812</v>
      </c>
      <c r="J219" s="7" t="s">
        <v>803</v>
      </c>
    </row>
    <row r="220" spans="1:10" hidden="1" x14ac:dyDescent="0.35">
      <c r="A220" s="7">
        <f>ROW()-ROW(BARANGKELUAR!$A$3)</f>
        <v>217</v>
      </c>
      <c r="B220" s="7" t="s">
        <v>1226</v>
      </c>
      <c r="C220" s="31">
        <v>45945</v>
      </c>
      <c r="D220" s="7" t="s">
        <v>638</v>
      </c>
      <c r="E220" s="34" t="s">
        <v>639</v>
      </c>
      <c r="F220" s="7" t="s">
        <v>562</v>
      </c>
      <c r="G220" s="7" t="s">
        <v>7</v>
      </c>
      <c r="H220" s="7">
        <v>1</v>
      </c>
      <c r="I220" s="7" t="s">
        <v>820</v>
      </c>
      <c r="J220" s="7" t="s">
        <v>800</v>
      </c>
    </row>
    <row r="221" spans="1:10" hidden="1" x14ac:dyDescent="0.35">
      <c r="A221" s="7">
        <f>ROW()-ROW(BARANGKELUAR!$A$3)</f>
        <v>218</v>
      </c>
      <c r="B221" s="7" t="s">
        <v>1227</v>
      </c>
      <c r="C221" s="31">
        <v>45946</v>
      </c>
      <c r="D221" s="7" t="s">
        <v>638</v>
      </c>
      <c r="E221" s="34" t="s">
        <v>639</v>
      </c>
      <c r="F221" s="7" t="s">
        <v>562</v>
      </c>
      <c r="G221" s="7" t="s">
        <v>7</v>
      </c>
      <c r="H221" s="7">
        <v>1</v>
      </c>
      <c r="I221" s="7" t="s">
        <v>812</v>
      </c>
      <c r="J221" s="7" t="s">
        <v>803</v>
      </c>
    </row>
    <row r="222" spans="1:10" hidden="1" x14ac:dyDescent="0.35">
      <c r="A222" s="7">
        <f>ROW()-ROW(BARANGKELUAR!$A$3)</f>
        <v>219</v>
      </c>
      <c r="B222" s="7" t="s">
        <v>1228</v>
      </c>
      <c r="C222" s="31">
        <v>45947</v>
      </c>
      <c r="D222" s="7" t="s">
        <v>638</v>
      </c>
      <c r="E222" s="34" t="s">
        <v>639</v>
      </c>
      <c r="F222" s="7" t="s">
        <v>562</v>
      </c>
      <c r="G222" s="7" t="s">
        <v>7</v>
      </c>
      <c r="H222" s="7">
        <v>1</v>
      </c>
      <c r="I222" s="7" t="s">
        <v>827</v>
      </c>
      <c r="J222" s="7" t="s">
        <v>828</v>
      </c>
    </row>
    <row r="223" spans="1:10" hidden="1" x14ac:dyDescent="0.35">
      <c r="A223" s="7">
        <f>ROW()-ROW(BARANGKELUAR!$A$3)</f>
        <v>220</v>
      </c>
      <c r="B223" s="7" t="s">
        <v>1229</v>
      </c>
      <c r="C223" s="31">
        <v>45947</v>
      </c>
      <c r="D223" s="7" t="s">
        <v>52</v>
      </c>
      <c r="E223" s="34" t="s">
        <v>53</v>
      </c>
      <c r="F223" s="7" t="s">
        <v>35</v>
      </c>
      <c r="G223" s="7" t="s">
        <v>7</v>
      </c>
      <c r="H223" s="7">
        <v>1</v>
      </c>
      <c r="I223" s="7" t="s">
        <v>812</v>
      </c>
      <c r="J223" s="7" t="s">
        <v>803</v>
      </c>
    </row>
    <row r="224" spans="1:10" hidden="1" x14ac:dyDescent="0.35">
      <c r="A224" s="7">
        <f>ROW()-ROW(BARANGKELUAR!$A$3)</f>
        <v>221</v>
      </c>
      <c r="B224" s="7" t="s">
        <v>1230</v>
      </c>
      <c r="C224" s="31">
        <v>45947</v>
      </c>
      <c r="D224" s="7" t="s">
        <v>56</v>
      </c>
      <c r="E224" s="34" t="s">
        <v>57</v>
      </c>
      <c r="F224" s="7" t="s">
        <v>35</v>
      </c>
      <c r="G224" s="7" t="s">
        <v>7</v>
      </c>
      <c r="H224" s="7">
        <v>1</v>
      </c>
      <c r="I224" s="7" t="s">
        <v>812</v>
      </c>
      <c r="J224" s="7" t="s">
        <v>803</v>
      </c>
    </row>
    <row r="225" spans="1:10" hidden="1" x14ac:dyDescent="0.35">
      <c r="A225" s="7">
        <f>ROW()-ROW(BARANGKELUAR!$A$3)</f>
        <v>222</v>
      </c>
      <c r="B225" s="7" t="s">
        <v>1231</v>
      </c>
      <c r="C225" s="31">
        <v>45947</v>
      </c>
      <c r="D225" s="7" t="s">
        <v>54</v>
      </c>
      <c r="E225" s="34" t="s">
        <v>55</v>
      </c>
      <c r="F225" s="7" t="s">
        <v>35</v>
      </c>
      <c r="G225" s="7" t="s">
        <v>7</v>
      </c>
      <c r="H225" s="7">
        <v>1</v>
      </c>
      <c r="I225" s="7" t="s">
        <v>812</v>
      </c>
      <c r="J225" s="7" t="s">
        <v>803</v>
      </c>
    </row>
    <row r="226" spans="1:10" hidden="1" x14ac:dyDescent="0.35">
      <c r="A226" s="7">
        <f>ROW()-ROW(BARANGKELUAR!$A$3)</f>
        <v>223</v>
      </c>
      <c r="B226" s="7" t="s">
        <v>1232</v>
      </c>
      <c r="C226" s="31">
        <v>45950</v>
      </c>
      <c r="D226" s="7" t="s">
        <v>859</v>
      </c>
      <c r="E226" s="34" t="s">
        <v>860</v>
      </c>
      <c r="F226" s="7" t="s">
        <v>562</v>
      </c>
      <c r="G226" s="7" t="s">
        <v>7</v>
      </c>
      <c r="H226" s="7">
        <v>1</v>
      </c>
      <c r="I226" s="7" t="s">
        <v>799</v>
      </c>
      <c r="J226" s="7" t="s">
        <v>800</v>
      </c>
    </row>
    <row r="227" spans="1:10" hidden="1" x14ac:dyDescent="0.35">
      <c r="A227" s="7">
        <f>ROW()-ROW(BARANGKELUAR!$A$3)</f>
        <v>224</v>
      </c>
      <c r="B227" s="7" t="s">
        <v>1254</v>
      </c>
      <c r="C227" s="31">
        <v>45940</v>
      </c>
      <c r="D227" s="7" t="s">
        <v>25</v>
      </c>
      <c r="E227" s="34" t="s">
        <v>50</v>
      </c>
      <c r="F227" s="7" t="s">
        <v>27</v>
      </c>
      <c r="G227" s="7" t="s">
        <v>7</v>
      </c>
      <c r="H227" s="7">
        <v>1</v>
      </c>
      <c r="I227" s="7" t="s">
        <v>812</v>
      </c>
      <c r="J227" s="7" t="s">
        <v>803</v>
      </c>
    </row>
    <row r="228" spans="1:10" hidden="1" x14ac:dyDescent="0.35">
      <c r="A228" s="7">
        <f>ROW()-ROW(BARANGKELUAR!$A$3)</f>
        <v>225</v>
      </c>
      <c r="B228" s="7" t="s">
        <v>1255</v>
      </c>
      <c r="C228" s="31">
        <v>45947</v>
      </c>
      <c r="D228" s="7" t="s">
        <v>25</v>
      </c>
      <c r="E228" s="34" t="s">
        <v>50</v>
      </c>
      <c r="F228" s="7" t="s">
        <v>27</v>
      </c>
      <c r="G228" s="7" t="s">
        <v>7</v>
      </c>
      <c r="H228" s="7">
        <v>1</v>
      </c>
      <c r="I228" s="7" t="s">
        <v>822</v>
      </c>
      <c r="J228" s="7" t="s">
        <v>818</v>
      </c>
    </row>
    <row r="229" spans="1:10" hidden="1" x14ac:dyDescent="0.35">
      <c r="A229" s="7">
        <f>ROW()-ROW(BARANGKELUAR!$A$3)</f>
        <v>226</v>
      </c>
      <c r="B229" s="7" t="s">
        <v>1256</v>
      </c>
      <c r="C229" s="31">
        <v>45947</v>
      </c>
      <c r="D229" s="7" t="s">
        <v>25</v>
      </c>
      <c r="E229" s="34" t="s">
        <v>50</v>
      </c>
      <c r="F229" s="7" t="s">
        <v>27</v>
      </c>
      <c r="G229" s="7" t="s">
        <v>7</v>
      </c>
      <c r="H229" s="7">
        <v>1</v>
      </c>
      <c r="I229" s="7" t="s">
        <v>820</v>
      </c>
      <c r="J229" s="7" t="s">
        <v>800</v>
      </c>
    </row>
    <row r="230" spans="1:10" hidden="1" x14ac:dyDescent="0.35">
      <c r="A230" s="7">
        <f>ROW()-ROW(BARANGKELUAR!$A$3)</f>
        <v>227</v>
      </c>
      <c r="B230" s="7" t="s">
        <v>1257</v>
      </c>
      <c r="C230" s="31">
        <v>45950</v>
      </c>
      <c r="D230" s="7" t="s">
        <v>25</v>
      </c>
      <c r="E230" s="34" t="s">
        <v>50</v>
      </c>
      <c r="F230" s="7" t="s">
        <v>27</v>
      </c>
      <c r="G230" s="7" t="s">
        <v>7</v>
      </c>
      <c r="H230" s="7">
        <v>1</v>
      </c>
      <c r="I230" s="7" t="s">
        <v>799</v>
      </c>
      <c r="J230" s="7" t="s">
        <v>800</v>
      </c>
    </row>
    <row r="231" spans="1:10" hidden="1" x14ac:dyDescent="0.35">
      <c r="A231" s="7">
        <f>ROW()-ROW(BARANGKELUAR!$A$3)</f>
        <v>228</v>
      </c>
      <c r="B231" s="7" t="s">
        <v>1258</v>
      </c>
      <c r="C231" s="31">
        <v>45953</v>
      </c>
      <c r="D231" s="7" t="s">
        <v>25</v>
      </c>
      <c r="E231" s="34" t="s">
        <v>50</v>
      </c>
      <c r="F231" s="7" t="s">
        <v>27</v>
      </c>
      <c r="G231" s="7" t="s">
        <v>7</v>
      </c>
      <c r="H231" s="7">
        <v>1</v>
      </c>
      <c r="I231" s="7" t="s">
        <v>811</v>
      </c>
      <c r="J231" s="7" t="s">
        <v>803</v>
      </c>
    </row>
    <row r="232" spans="1:10" hidden="1" x14ac:dyDescent="0.35">
      <c r="A232" s="7">
        <f>ROW()-ROW(BARANGKELUAR!$A$3)</f>
        <v>229</v>
      </c>
      <c r="B232" s="7" t="s">
        <v>1259</v>
      </c>
      <c r="C232" s="31">
        <v>45954</v>
      </c>
      <c r="D232" s="7" t="s">
        <v>25</v>
      </c>
      <c r="E232" s="34" t="s">
        <v>50</v>
      </c>
      <c r="F232" s="7" t="s">
        <v>27</v>
      </c>
      <c r="G232" s="7" t="s">
        <v>7</v>
      </c>
      <c r="H232" s="7">
        <v>1</v>
      </c>
      <c r="I232" s="7" t="s">
        <v>820</v>
      </c>
      <c r="J232" s="7" t="s">
        <v>800</v>
      </c>
    </row>
    <row r="233" spans="1:10" hidden="1" x14ac:dyDescent="0.35">
      <c r="A233" s="7">
        <f>ROW()-ROW(BARANGKELUAR!$A$3)</f>
        <v>230</v>
      </c>
      <c r="B233" s="7" t="s">
        <v>1260</v>
      </c>
      <c r="C233" s="31">
        <v>45954</v>
      </c>
      <c r="D233" s="7" t="s">
        <v>25</v>
      </c>
      <c r="E233" s="34" t="s">
        <v>50</v>
      </c>
      <c r="F233" s="7" t="s">
        <v>27</v>
      </c>
      <c r="G233" s="7" t="s">
        <v>7</v>
      </c>
      <c r="H233" s="7">
        <v>1</v>
      </c>
      <c r="I233" s="7" t="s">
        <v>817</v>
      </c>
      <c r="J233" s="7" t="s">
        <v>818</v>
      </c>
    </row>
    <row r="234" spans="1:10" hidden="1" x14ac:dyDescent="0.35">
      <c r="A234" s="7">
        <f>ROW()-ROW(BARANGKELUAR!$A$3)</f>
        <v>231</v>
      </c>
      <c r="B234" s="7" t="s">
        <v>1261</v>
      </c>
      <c r="C234" s="31">
        <v>45957</v>
      </c>
      <c r="D234" s="7" t="s">
        <v>25</v>
      </c>
      <c r="E234" s="34" t="s">
        <v>50</v>
      </c>
      <c r="F234" s="7" t="s">
        <v>27</v>
      </c>
      <c r="G234" s="7" t="s">
        <v>7</v>
      </c>
      <c r="H234" s="7">
        <v>1</v>
      </c>
      <c r="I234" s="7" t="s">
        <v>827</v>
      </c>
      <c r="J234" s="7" t="s">
        <v>828</v>
      </c>
    </row>
    <row r="235" spans="1:10" hidden="1" x14ac:dyDescent="0.35">
      <c r="A235" s="7">
        <f>ROW()-ROW(BARANGKELUAR!$A$3)</f>
        <v>232</v>
      </c>
      <c r="B235" s="7" t="s">
        <v>1262</v>
      </c>
      <c r="C235" s="31">
        <v>45958</v>
      </c>
      <c r="D235" s="7" t="s">
        <v>25</v>
      </c>
      <c r="E235" s="34" t="s">
        <v>50</v>
      </c>
      <c r="F235" s="7" t="s">
        <v>27</v>
      </c>
      <c r="G235" s="7" t="s">
        <v>7</v>
      </c>
      <c r="H235" s="7">
        <v>1</v>
      </c>
      <c r="I235" s="7" t="s">
        <v>834</v>
      </c>
      <c r="J235" s="7" t="s">
        <v>835</v>
      </c>
    </row>
    <row r="236" spans="1:10" hidden="1" x14ac:dyDescent="0.35">
      <c r="A236" s="7">
        <f>ROW()-ROW(BARANGKELUAR!$A$3)</f>
        <v>233</v>
      </c>
      <c r="B236" s="7" t="s">
        <v>1263</v>
      </c>
      <c r="C236" s="31">
        <v>45960</v>
      </c>
      <c r="D236" s="7" t="s">
        <v>25</v>
      </c>
      <c r="E236" s="34" t="s">
        <v>50</v>
      </c>
      <c r="F236" s="7" t="s">
        <v>27</v>
      </c>
      <c r="G236" s="7" t="s">
        <v>7</v>
      </c>
      <c r="H236" s="7">
        <v>1</v>
      </c>
      <c r="I236" s="7" t="s">
        <v>822</v>
      </c>
      <c r="J236" s="7" t="s">
        <v>818</v>
      </c>
    </row>
    <row r="237" spans="1:10" hidden="1" x14ac:dyDescent="0.35">
      <c r="A237" s="7">
        <f>ROW()-ROW(BARANGKELUAR!$A$3)</f>
        <v>234</v>
      </c>
      <c r="B237" s="7" t="s">
        <v>1264</v>
      </c>
      <c r="C237" s="31">
        <v>45960</v>
      </c>
      <c r="D237" s="7" t="s">
        <v>1092</v>
      </c>
      <c r="E237" s="34" t="s">
        <v>1093</v>
      </c>
      <c r="F237" s="7" t="s">
        <v>30</v>
      </c>
      <c r="G237" s="7" t="s">
        <v>7</v>
      </c>
      <c r="H237" s="7">
        <v>1</v>
      </c>
      <c r="I237" s="7" t="s">
        <v>814</v>
      </c>
      <c r="J237" s="7" t="s">
        <v>806</v>
      </c>
    </row>
    <row r="238" spans="1:10" hidden="1" x14ac:dyDescent="0.35">
      <c r="A238" s="7">
        <f>ROW()-ROW(BARANGKELUAR!$A$3)</f>
        <v>235</v>
      </c>
      <c r="B238" s="7" t="s">
        <v>1265</v>
      </c>
      <c r="C238" s="31">
        <v>45954</v>
      </c>
      <c r="D238" s="7" t="s">
        <v>1092</v>
      </c>
      <c r="E238" s="34" t="s">
        <v>1093</v>
      </c>
      <c r="F238" s="7" t="s">
        <v>30</v>
      </c>
      <c r="G238" s="7" t="s">
        <v>7</v>
      </c>
      <c r="H238" s="7">
        <v>1</v>
      </c>
      <c r="I238" s="7" t="s">
        <v>805</v>
      </c>
      <c r="J238" s="7" t="s">
        <v>806</v>
      </c>
    </row>
    <row r="239" spans="1:10" hidden="1" x14ac:dyDescent="0.35">
      <c r="A239" s="7">
        <f>ROW()-ROW(BARANGKELUAR!$A$3)</f>
        <v>236</v>
      </c>
      <c r="B239" s="7" t="s">
        <v>1266</v>
      </c>
      <c r="C239" s="31">
        <v>45954</v>
      </c>
      <c r="D239" s="7" t="s">
        <v>28</v>
      </c>
      <c r="E239" s="34" t="s">
        <v>51</v>
      </c>
      <c r="F239" s="7" t="s">
        <v>35</v>
      </c>
      <c r="G239" s="7" t="s">
        <v>7</v>
      </c>
      <c r="H239" s="7">
        <v>1</v>
      </c>
      <c r="I239" s="7" t="s">
        <v>888</v>
      </c>
      <c r="J239" s="7" t="s">
        <v>800</v>
      </c>
    </row>
    <row r="240" spans="1:10" hidden="1" x14ac:dyDescent="0.35">
      <c r="A240" s="7">
        <f>ROW()-ROW(BARANGKELUAR!$A$3)</f>
        <v>237</v>
      </c>
      <c r="B240" s="7" t="s">
        <v>1267</v>
      </c>
      <c r="C240" s="31">
        <v>45954</v>
      </c>
      <c r="D240" s="7" t="s">
        <v>66</v>
      </c>
      <c r="E240" s="34" t="s">
        <v>67</v>
      </c>
      <c r="F240" s="7" t="s">
        <v>35</v>
      </c>
      <c r="G240" s="7" t="s">
        <v>7</v>
      </c>
      <c r="H240" s="7">
        <v>1</v>
      </c>
      <c r="I240" s="7" t="s">
        <v>888</v>
      </c>
      <c r="J240" s="7" t="s">
        <v>800</v>
      </c>
    </row>
    <row r="241" spans="1:10" hidden="1" x14ac:dyDescent="0.35">
      <c r="A241" s="7">
        <f>ROW()-ROW(BARANGKELUAR!$A$3)</f>
        <v>238</v>
      </c>
      <c r="B241" s="7" t="s">
        <v>1472</v>
      </c>
      <c r="C241" s="31">
        <v>46003</v>
      </c>
      <c r="D241" s="7" t="s">
        <v>25</v>
      </c>
      <c r="E241" s="34" t="s">
        <v>50</v>
      </c>
      <c r="F241" s="7" t="s">
        <v>27</v>
      </c>
      <c r="G241" s="7" t="s">
        <v>7</v>
      </c>
      <c r="H241" s="7">
        <v>1</v>
      </c>
      <c r="I241" s="7" t="s">
        <v>812</v>
      </c>
      <c r="J241" s="7" t="s">
        <v>803</v>
      </c>
    </row>
    <row r="242" spans="1:10" hidden="1" x14ac:dyDescent="0.35">
      <c r="A242" s="7">
        <f>ROW()-ROW(BARANGKELUAR!$A$3)</f>
        <v>239</v>
      </c>
      <c r="B242" s="7" t="s">
        <v>1275</v>
      </c>
      <c r="C242" s="31">
        <v>45966</v>
      </c>
      <c r="D242" s="7" t="s">
        <v>745</v>
      </c>
      <c r="E242" s="34" t="s">
        <v>746</v>
      </c>
      <c r="F242" s="7" t="s">
        <v>304</v>
      </c>
      <c r="G242" s="7" t="s">
        <v>7</v>
      </c>
      <c r="H242" s="7">
        <v>1</v>
      </c>
      <c r="I242" s="7" t="s">
        <v>805</v>
      </c>
      <c r="J242" s="7" t="s">
        <v>806</v>
      </c>
    </row>
    <row r="243" spans="1:10" hidden="1" x14ac:dyDescent="0.35">
      <c r="A243" s="7">
        <f>ROW()-ROW(BARANGKELUAR!$A$3)</f>
        <v>240</v>
      </c>
      <c r="B243" s="7" t="s">
        <v>1276</v>
      </c>
      <c r="C243" s="31">
        <v>45968</v>
      </c>
      <c r="D243" s="7" t="s">
        <v>636</v>
      </c>
      <c r="E243" s="34" t="s">
        <v>637</v>
      </c>
      <c r="F243" s="7" t="s">
        <v>30</v>
      </c>
      <c r="G243" s="7" t="s">
        <v>7</v>
      </c>
      <c r="H243" s="7">
        <v>1</v>
      </c>
      <c r="I243" s="7" t="s">
        <v>811</v>
      </c>
      <c r="J243" s="7" t="s">
        <v>803</v>
      </c>
    </row>
    <row r="244" spans="1:10" hidden="1" x14ac:dyDescent="0.35">
      <c r="A244" s="7">
        <f>ROW()-ROW(BARANGKELUAR!$A$3)</f>
        <v>241</v>
      </c>
      <c r="B244" s="7" t="s">
        <v>1277</v>
      </c>
      <c r="C244" s="31">
        <v>45972</v>
      </c>
      <c r="D244" s="7" t="s">
        <v>398</v>
      </c>
      <c r="E244" s="34" t="s">
        <v>399</v>
      </c>
      <c r="F244" s="7" t="s">
        <v>30</v>
      </c>
      <c r="G244" s="7" t="s">
        <v>7</v>
      </c>
      <c r="H244" s="7">
        <v>4</v>
      </c>
      <c r="I244" s="7" t="s">
        <v>809</v>
      </c>
      <c r="J244" s="7" t="s">
        <v>800</v>
      </c>
    </row>
    <row r="245" spans="1:10" hidden="1" x14ac:dyDescent="0.35">
      <c r="A245" s="7">
        <f>ROW()-ROW(BARANGKELUAR!$A$3)</f>
        <v>242</v>
      </c>
      <c r="B245" s="7" t="s">
        <v>1278</v>
      </c>
      <c r="C245" s="31">
        <v>45979</v>
      </c>
      <c r="D245" s="7" t="s">
        <v>1092</v>
      </c>
      <c r="E245" s="34" t="s">
        <v>1093</v>
      </c>
      <c r="F245" s="7" t="s">
        <v>30</v>
      </c>
      <c r="G245" s="7" t="s">
        <v>7</v>
      </c>
      <c r="H245" s="7">
        <v>1</v>
      </c>
      <c r="I245" s="7" t="s">
        <v>900</v>
      </c>
      <c r="J245" s="7" t="s">
        <v>800</v>
      </c>
    </row>
    <row r="246" spans="1:10" hidden="1" x14ac:dyDescent="0.35">
      <c r="A246" s="7">
        <f>ROW()-ROW(BARANGKELUAR!$A$3)</f>
        <v>243</v>
      </c>
      <c r="B246" s="7" t="s">
        <v>1279</v>
      </c>
      <c r="C246" s="31">
        <v>45981</v>
      </c>
      <c r="D246" s="7" t="s">
        <v>1092</v>
      </c>
      <c r="E246" s="34" t="s">
        <v>1093</v>
      </c>
      <c r="F246" s="7" t="s">
        <v>30</v>
      </c>
      <c r="G246" s="7" t="s">
        <v>7</v>
      </c>
      <c r="H246" s="7">
        <v>1</v>
      </c>
      <c r="I246" s="7" t="s">
        <v>817</v>
      </c>
      <c r="J246" s="7" t="s">
        <v>818</v>
      </c>
    </row>
    <row r="247" spans="1:10" hidden="1" x14ac:dyDescent="0.35">
      <c r="A247" s="7">
        <f>ROW()-ROW(BARANGKELUAR!$A$3)</f>
        <v>244</v>
      </c>
      <c r="B247" s="7" t="s">
        <v>1280</v>
      </c>
      <c r="C247" s="31">
        <v>45976</v>
      </c>
      <c r="D247" s="7" t="s">
        <v>638</v>
      </c>
      <c r="E247" s="34" t="s">
        <v>639</v>
      </c>
      <c r="F247" s="7" t="s">
        <v>562</v>
      </c>
      <c r="G247" s="7" t="s">
        <v>7</v>
      </c>
      <c r="H247" s="7">
        <v>1</v>
      </c>
      <c r="I247" s="7" t="s">
        <v>827</v>
      </c>
      <c r="J247" s="7" t="s">
        <v>828</v>
      </c>
    </row>
    <row r="248" spans="1:10" hidden="1" x14ac:dyDescent="0.35">
      <c r="A248" s="7">
        <f>ROW()-ROW(BARANGKELUAR!$A$3)</f>
        <v>245</v>
      </c>
      <c r="B248" s="7" t="s">
        <v>1281</v>
      </c>
      <c r="C248" s="31">
        <v>45966</v>
      </c>
      <c r="D248" s="7" t="s">
        <v>1092</v>
      </c>
      <c r="E248" s="34" t="s">
        <v>1093</v>
      </c>
      <c r="F248" s="7" t="s">
        <v>30</v>
      </c>
      <c r="G248" s="7" t="s">
        <v>7</v>
      </c>
      <c r="H248" s="7">
        <v>1</v>
      </c>
      <c r="I248" s="7" t="s">
        <v>834</v>
      </c>
      <c r="J248" s="7" t="s">
        <v>835</v>
      </c>
    </row>
    <row r="249" spans="1:10" hidden="1" x14ac:dyDescent="0.35">
      <c r="A249" s="7">
        <f>ROW()-ROW(BARANGKELUAR!$A$3)</f>
        <v>246</v>
      </c>
      <c r="B249" s="7" t="s">
        <v>1282</v>
      </c>
      <c r="C249" s="31">
        <v>45966</v>
      </c>
      <c r="D249" s="7" t="s">
        <v>25</v>
      </c>
      <c r="E249" s="34" t="s">
        <v>50</v>
      </c>
      <c r="F249" s="7" t="s">
        <v>27</v>
      </c>
      <c r="G249" s="7" t="s">
        <v>7</v>
      </c>
      <c r="H249" s="7">
        <v>1</v>
      </c>
      <c r="I249" s="7" t="s">
        <v>811</v>
      </c>
      <c r="J249" s="7" t="s">
        <v>803</v>
      </c>
    </row>
    <row r="250" spans="1:10" hidden="1" x14ac:dyDescent="0.35">
      <c r="A250" s="7">
        <f>ROW()-ROW(BARANGKELUAR!$A$3)</f>
        <v>247</v>
      </c>
      <c r="B250" s="7" t="s">
        <v>1283</v>
      </c>
      <c r="C250" s="31">
        <v>45966</v>
      </c>
      <c r="D250" s="7" t="s">
        <v>25</v>
      </c>
      <c r="E250" s="34" t="s">
        <v>50</v>
      </c>
      <c r="F250" s="7" t="s">
        <v>27</v>
      </c>
      <c r="G250" s="7" t="s">
        <v>7</v>
      </c>
      <c r="H250" s="7">
        <v>1</v>
      </c>
      <c r="I250" s="7" t="s">
        <v>820</v>
      </c>
      <c r="J250" s="7" t="s">
        <v>800</v>
      </c>
    </row>
    <row r="251" spans="1:10" hidden="1" x14ac:dyDescent="0.35">
      <c r="A251" s="7">
        <f>ROW()-ROW(BARANGKELUAR!$A$3)</f>
        <v>248</v>
      </c>
      <c r="B251" s="7" t="s">
        <v>1284</v>
      </c>
      <c r="C251" s="31">
        <v>45966</v>
      </c>
      <c r="D251" s="7" t="s">
        <v>25</v>
      </c>
      <c r="E251" s="34" t="s">
        <v>50</v>
      </c>
      <c r="F251" s="7" t="s">
        <v>27</v>
      </c>
      <c r="G251" s="7" t="s">
        <v>7</v>
      </c>
      <c r="H251" s="7">
        <v>1</v>
      </c>
      <c r="I251" s="7" t="s">
        <v>817</v>
      </c>
      <c r="J251" s="7" t="s">
        <v>818</v>
      </c>
    </row>
    <row r="252" spans="1:10" hidden="1" x14ac:dyDescent="0.35">
      <c r="A252" s="7">
        <f>ROW()-ROW(BARANGKELUAR!$A$3)</f>
        <v>249</v>
      </c>
      <c r="B252" s="7" t="s">
        <v>1285</v>
      </c>
      <c r="C252" s="31">
        <v>45967</v>
      </c>
      <c r="D252" s="7" t="s">
        <v>25</v>
      </c>
      <c r="E252" s="34" t="s">
        <v>50</v>
      </c>
      <c r="F252" s="7" t="s">
        <v>27</v>
      </c>
      <c r="G252" s="7" t="s">
        <v>7</v>
      </c>
      <c r="H252" s="7">
        <v>1</v>
      </c>
      <c r="I252" s="7" t="s">
        <v>827</v>
      </c>
      <c r="J252" s="7" t="s">
        <v>828</v>
      </c>
    </row>
    <row r="253" spans="1:10" hidden="1" x14ac:dyDescent="0.35">
      <c r="A253" s="7">
        <f>ROW()-ROW(BARANGKELUAR!$A$3)</f>
        <v>250</v>
      </c>
      <c r="B253" s="7" t="s">
        <v>1286</v>
      </c>
      <c r="C253" s="31">
        <v>45967</v>
      </c>
      <c r="D253" s="7" t="s">
        <v>25</v>
      </c>
      <c r="E253" s="34" t="s">
        <v>50</v>
      </c>
      <c r="F253" s="7" t="s">
        <v>27</v>
      </c>
      <c r="G253" s="7" t="s">
        <v>7</v>
      </c>
      <c r="H253" s="7">
        <v>1</v>
      </c>
      <c r="I253" s="7" t="s">
        <v>834</v>
      </c>
      <c r="J253" s="7" t="s">
        <v>835</v>
      </c>
    </row>
    <row r="254" spans="1:10" hidden="1" x14ac:dyDescent="0.35">
      <c r="A254" s="7">
        <f>ROW()-ROW(BARANGKELUAR!$A$3)</f>
        <v>251</v>
      </c>
      <c r="B254" s="7" t="s">
        <v>1287</v>
      </c>
      <c r="C254" s="31">
        <v>45967</v>
      </c>
      <c r="D254" s="7" t="s">
        <v>25</v>
      </c>
      <c r="E254" s="34" t="s">
        <v>50</v>
      </c>
      <c r="F254" s="7" t="s">
        <v>27</v>
      </c>
      <c r="G254" s="7" t="s">
        <v>7</v>
      </c>
      <c r="H254" s="7">
        <v>1</v>
      </c>
      <c r="I254" s="7" t="s">
        <v>822</v>
      </c>
      <c r="J254" s="7" t="s">
        <v>818</v>
      </c>
    </row>
    <row r="255" spans="1:10" hidden="1" x14ac:dyDescent="0.35">
      <c r="A255" s="7">
        <f>ROW()-ROW(BARANGKELUAR!$A$3)</f>
        <v>252</v>
      </c>
      <c r="B255" s="7" t="s">
        <v>1500</v>
      </c>
      <c r="C255" s="31">
        <v>46014</v>
      </c>
      <c r="D255" s="7" t="s">
        <v>1348</v>
      </c>
      <c r="E255" s="34" t="s">
        <v>1349</v>
      </c>
      <c r="F255" s="7" t="s">
        <v>304</v>
      </c>
      <c r="G255" s="7" t="s">
        <v>7</v>
      </c>
      <c r="H255" s="7">
        <v>1</v>
      </c>
      <c r="I255" s="7" t="s">
        <v>891</v>
      </c>
      <c r="J255" s="7" t="s">
        <v>835</v>
      </c>
    </row>
    <row r="256" spans="1:10" hidden="1" x14ac:dyDescent="0.35">
      <c r="A256" s="7">
        <f>ROW()-ROW(BARANGKELUAR!$A$3)</f>
        <v>253</v>
      </c>
      <c r="B256" s="7" t="s">
        <v>1473</v>
      </c>
      <c r="C256" s="31">
        <v>45994</v>
      </c>
      <c r="D256" s="7" t="s">
        <v>25</v>
      </c>
      <c r="E256" s="34" t="s">
        <v>50</v>
      </c>
      <c r="F256" s="7" t="s">
        <v>27</v>
      </c>
      <c r="G256" s="7" t="s">
        <v>7</v>
      </c>
      <c r="H256" s="7">
        <v>1</v>
      </c>
      <c r="I256" s="7" t="s">
        <v>1187</v>
      </c>
      <c r="J256" s="7" t="s">
        <v>818</v>
      </c>
    </row>
    <row r="257" spans="1:10" hidden="1" x14ac:dyDescent="0.35">
      <c r="A257" s="7">
        <f>ROW()-ROW(BARANGKELUAR!$A$3)</f>
        <v>254</v>
      </c>
      <c r="B257" s="7" t="s">
        <v>1474</v>
      </c>
      <c r="C257" s="31">
        <v>45993</v>
      </c>
      <c r="D257" s="7" t="s">
        <v>25</v>
      </c>
      <c r="E257" s="34" t="s">
        <v>50</v>
      </c>
      <c r="F257" s="7" t="s">
        <v>27</v>
      </c>
      <c r="G257" s="7" t="s">
        <v>7</v>
      </c>
      <c r="H257" s="7">
        <v>2</v>
      </c>
      <c r="I257" s="7" t="s">
        <v>891</v>
      </c>
      <c r="J257" s="7" t="s">
        <v>835</v>
      </c>
    </row>
    <row r="258" spans="1:10" hidden="1" x14ac:dyDescent="0.35">
      <c r="A258" s="7">
        <f>ROW()-ROW(BARANGKELUAR!$A$3)</f>
        <v>255</v>
      </c>
      <c r="B258" s="7" t="s">
        <v>1475</v>
      </c>
      <c r="C258" s="31">
        <v>45994</v>
      </c>
      <c r="D258" s="7" t="s">
        <v>25</v>
      </c>
      <c r="E258" s="34" t="s">
        <v>50</v>
      </c>
      <c r="F258" s="7" t="s">
        <v>27</v>
      </c>
      <c r="G258" s="7" t="s">
        <v>7</v>
      </c>
      <c r="H258" s="7">
        <v>1</v>
      </c>
      <c r="I258" s="7" t="s">
        <v>811</v>
      </c>
      <c r="J258" s="7" t="s">
        <v>803</v>
      </c>
    </row>
    <row r="259" spans="1:10" hidden="1" x14ac:dyDescent="0.35">
      <c r="A259" s="7">
        <f>ROW()-ROW(BARANGKELUAR!$A$3)</f>
        <v>256</v>
      </c>
      <c r="B259" s="7" t="s">
        <v>1476</v>
      </c>
      <c r="C259" s="31">
        <v>45995</v>
      </c>
      <c r="D259" s="7" t="s">
        <v>25</v>
      </c>
      <c r="E259" s="34" t="s">
        <v>50</v>
      </c>
      <c r="F259" s="7" t="s">
        <v>27</v>
      </c>
      <c r="G259" s="7" t="s">
        <v>7</v>
      </c>
      <c r="H259" s="7">
        <v>1</v>
      </c>
      <c r="I259" s="7" t="s">
        <v>805</v>
      </c>
      <c r="J259" s="7" t="s">
        <v>806</v>
      </c>
    </row>
    <row r="260" spans="1:10" hidden="1" x14ac:dyDescent="0.35">
      <c r="A260" s="7">
        <f>ROW()-ROW(BARANGKELUAR!$A$3)</f>
        <v>257</v>
      </c>
      <c r="B260" s="7" t="s">
        <v>1477</v>
      </c>
      <c r="C260" s="31">
        <v>45995</v>
      </c>
      <c r="D260" s="7" t="s">
        <v>294</v>
      </c>
      <c r="E260" s="34" t="s">
        <v>295</v>
      </c>
      <c r="F260" s="7" t="s">
        <v>41</v>
      </c>
      <c r="G260" s="7" t="s">
        <v>7</v>
      </c>
      <c r="H260" s="7">
        <v>2</v>
      </c>
      <c r="I260" s="7" t="s">
        <v>799</v>
      </c>
      <c r="J260" s="7" t="s">
        <v>800</v>
      </c>
    </row>
    <row r="261" spans="1:10" hidden="1" x14ac:dyDescent="0.35">
      <c r="A261" s="7">
        <f>ROW()-ROW(BARANGKELUAR!$A$3)</f>
        <v>258</v>
      </c>
      <c r="B261" s="7" t="s">
        <v>1478</v>
      </c>
      <c r="C261" s="31">
        <v>45995</v>
      </c>
      <c r="D261" s="7" t="s">
        <v>25</v>
      </c>
      <c r="E261" s="34" t="s">
        <v>50</v>
      </c>
      <c r="F261" s="7" t="s">
        <v>27</v>
      </c>
      <c r="G261" s="7" t="s">
        <v>7</v>
      </c>
      <c r="H261" s="7">
        <v>1</v>
      </c>
      <c r="I261" s="7" t="s">
        <v>820</v>
      </c>
      <c r="J261" s="7" t="s">
        <v>800</v>
      </c>
    </row>
    <row r="262" spans="1:10" hidden="1" x14ac:dyDescent="0.35">
      <c r="A262" s="7">
        <f>ROW()-ROW(BARANGKELUAR!$A$3)</f>
        <v>259</v>
      </c>
      <c r="B262" s="7" t="s">
        <v>1479</v>
      </c>
      <c r="C262" s="31">
        <v>45996</v>
      </c>
      <c r="D262" s="7" t="s">
        <v>460</v>
      </c>
      <c r="E262" s="34" t="s">
        <v>463</v>
      </c>
      <c r="F262" s="7" t="s">
        <v>30</v>
      </c>
      <c r="G262" s="7" t="s">
        <v>7</v>
      </c>
      <c r="H262" s="7">
        <v>1</v>
      </c>
      <c r="I262" s="7" t="s">
        <v>837</v>
      </c>
      <c r="J262" s="7" t="s">
        <v>828</v>
      </c>
    </row>
    <row r="263" spans="1:10" hidden="1" x14ac:dyDescent="0.35">
      <c r="A263" s="7">
        <f>ROW()-ROW(BARANGKELUAR!$A$3)</f>
        <v>260</v>
      </c>
      <c r="B263" s="7" t="s">
        <v>1480</v>
      </c>
      <c r="C263" s="31">
        <v>45996</v>
      </c>
      <c r="D263" s="7" t="s">
        <v>936</v>
      </c>
      <c r="E263" s="34" t="s">
        <v>937</v>
      </c>
      <c r="F263" s="7" t="s">
        <v>35</v>
      </c>
      <c r="G263" s="7" t="s">
        <v>7</v>
      </c>
      <c r="H263" s="7">
        <v>1</v>
      </c>
      <c r="I263" s="7" t="s">
        <v>820</v>
      </c>
      <c r="J263" s="7" t="s">
        <v>800</v>
      </c>
    </row>
    <row r="264" spans="1:10" hidden="1" x14ac:dyDescent="0.35">
      <c r="A264" s="7">
        <f>ROW()-ROW(BARANGKELUAR!$A$3)</f>
        <v>261</v>
      </c>
      <c r="B264" s="7" t="s">
        <v>1481</v>
      </c>
      <c r="C264" s="31">
        <v>45999</v>
      </c>
      <c r="D264" s="7" t="s">
        <v>25</v>
      </c>
      <c r="E264" s="34" t="s">
        <v>50</v>
      </c>
      <c r="F264" s="7" t="s">
        <v>27</v>
      </c>
      <c r="G264" s="7" t="s">
        <v>7</v>
      </c>
      <c r="H264" s="7">
        <v>1</v>
      </c>
      <c r="I264" s="7" t="s">
        <v>827</v>
      </c>
      <c r="J264" s="7" t="s">
        <v>828</v>
      </c>
    </row>
    <row r="265" spans="1:10" hidden="1" x14ac:dyDescent="0.35">
      <c r="A265" s="7">
        <f>ROW()-ROW(BARANGKELUAR!$A$3)</f>
        <v>262</v>
      </c>
      <c r="B265" s="7" t="s">
        <v>1482</v>
      </c>
      <c r="C265" s="31">
        <v>46000</v>
      </c>
      <c r="D265" s="7" t="s">
        <v>556</v>
      </c>
      <c r="E265" s="34" t="s">
        <v>557</v>
      </c>
      <c r="F265" s="7" t="s">
        <v>106</v>
      </c>
      <c r="G265" s="7" t="s">
        <v>7</v>
      </c>
      <c r="H265" s="7">
        <v>2</v>
      </c>
      <c r="I265" s="7" t="s">
        <v>1187</v>
      </c>
      <c r="J265" s="7" t="s">
        <v>818</v>
      </c>
    </row>
    <row r="266" spans="1:10" hidden="1" x14ac:dyDescent="0.35">
      <c r="A266" s="7">
        <f>ROW()-ROW(BARANGKELUAR!$A$3)</f>
        <v>263</v>
      </c>
      <c r="B266" s="7" t="s">
        <v>1483</v>
      </c>
      <c r="C266" s="31">
        <v>46000</v>
      </c>
      <c r="D266" s="7" t="s">
        <v>861</v>
      </c>
      <c r="E266" s="34" t="s">
        <v>862</v>
      </c>
      <c r="F266" s="7" t="s">
        <v>562</v>
      </c>
      <c r="G266" s="7" t="s">
        <v>7</v>
      </c>
      <c r="H266" s="7">
        <v>1</v>
      </c>
      <c r="I266" s="7" t="s">
        <v>827</v>
      </c>
      <c r="J266" s="7" t="s">
        <v>828</v>
      </c>
    </row>
    <row r="267" spans="1:10" hidden="1" x14ac:dyDescent="0.35">
      <c r="A267" s="7">
        <f>ROW()-ROW(BARANGKELUAR!$A$3)</f>
        <v>264</v>
      </c>
      <c r="B267" s="7" t="s">
        <v>1484</v>
      </c>
      <c r="C267" s="31">
        <v>46003</v>
      </c>
      <c r="D267" s="7" t="s">
        <v>25</v>
      </c>
      <c r="E267" s="34" t="s">
        <v>50</v>
      </c>
      <c r="F267" s="7" t="s">
        <v>27</v>
      </c>
      <c r="G267" s="7" t="s">
        <v>7</v>
      </c>
      <c r="H267" s="7">
        <v>1</v>
      </c>
      <c r="I267" s="7" t="s">
        <v>812</v>
      </c>
      <c r="J267" s="7" t="s">
        <v>803</v>
      </c>
    </row>
    <row r="268" spans="1:10" hidden="1" x14ac:dyDescent="0.35">
      <c r="A268" s="7">
        <f>ROW()-ROW(BARANGKELUAR!$A$3)</f>
        <v>265</v>
      </c>
      <c r="B268" s="7" t="s">
        <v>1485</v>
      </c>
      <c r="C268" s="31">
        <v>46003</v>
      </c>
      <c r="D268" s="7" t="s">
        <v>1041</v>
      </c>
      <c r="E268" s="34" t="s">
        <v>1042</v>
      </c>
      <c r="F268" s="7" t="s">
        <v>27</v>
      </c>
      <c r="G268" s="7" t="s">
        <v>7</v>
      </c>
      <c r="H268" s="7">
        <v>1</v>
      </c>
      <c r="I268" s="7" t="s">
        <v>834</v>
      </c>
      <c r="J268" s="7" t="s">
        <v>835</v>
      </c>
    </row>
    <row r="269" spans="1:10" hidden="1" x14ac:dyDescent="0.35">
      <c r="A269" s="7">
        <f>ROW()-ROW(BARANGKELUAR!$A$3)</f>
        <v>266</v>
      </c>
      <c r="B269" s="7" t="s">
        <v>1486</v>
      </c>
      <c r="C269" s="31">
        <v>46006</v>
      </c>
      <c r="D269" s="7" t="s">
        <v>1429</v>
      </c>
      <c r="E269" s="34" t="s">
        <v>1430</v>
      </c>
      <c r="F269" s="7" t="s">
        <v>30</v>
      </c>
      <c r="G269" s="7" t="s">
        <v>7</v>
      </c>
      <c r="H269" s="7">
        <v>1</v>
      </c>
      <c r="I269" s="7" t="s">
        <v>891</v>
      </c>
      <c r="J269" s="7" t="s">
        <v>835</v>
      </c>
    </row>
    <row r="270" spans="1:10" hidden="1" x14ac:dyDescent="0.35">
      <c r="A270" s="7">
        <f>ROW()-ROW(BARANGKELUAR!$A$3)</f>
        <v>267</v>
      </c>
      <c r="B270" s="7" t="s">
        <v>1487</v>
      </c>
      <c r="C270" s="31">
        <v>46006</v>
      </c>
      <c r="D270" s="7" t="s">
        <v>1431</v>
      </c>
      <c r="E270" s="34" t="s">
        <v>1432</v>
      </c>
      <c r="F270" s="7" t="s">
        <v>30</v>
      </c>
      <c r="G270" s="7" t="s">
        <v>7</v>
      </c>
      <c r="H270" s="7">
        <v>1</v>
      </c>
      <c r="I270" s="7" t="s">
        <v>809</v>
      </c>
      <c r="J270" s="7" t="s">
        <v>835</v>
      </c>
    </row>
    <row r="271" spans="1:10" hidden="1" x14ac:dyDescent="0.35">
      <c r="A271" s="7">
        <f>ROW()-ROW(BARANGKELUAR!$A$3)</f>
        <v>268</v>
      </c>
      <c r="B271" s="7" t="s">
        <v>1488</v>
      </c>
      <c r="C271" s="31">
        <v>46006</v>
      </c>
      <c r="D271" s="7" t="s">
        <v>25</v>
      </c>
      <c r="E271" s="34" t="s">
        <v>50</v>
      </c>
      <c r="F271" s="7" t="s">
        <v>27</v>
      </c>
      <c r="G271" s="7" t="s">
        <v>7</v>
      </c>
      <c r="H271" s="7">
        <v>1</v>
      </c>
      <c r="I271" s="7" t="s">
        <v>888</v>
      </c>
      <c r="J271" s="7" t="s">
        <v>800</v>
      </c>
    </row>
    <row r="272" spans="1:10" hidden="1" x14ac:dyDescent="0.35">
      <c r="A272" s="7">
        <f>ROW()-ROW(BARANGKELUAR!$A$3)</f>
        <v>269</v>
      </c>
      <c r="B272" s="7" t="s">
        <v>1489</v>
      </c>
      <c r="C272" s="31">
        <v>46006</v>
      </c>
      <c r="D272" s="7" t="s">
        <v>48</v>
      </c>
      <c r="E272" s="34" t="s">
        <v>49</v>
      </c>
      <c r="F272" s="7" t="s">
        <v>27</v>
      </c>
      <c r="G272" s="7" t="s">
        <v>7</v>
      </c>
      <c r="H272" s="7">
        <v>1</v>
      </c>
      <c r="I272" s="7" t="s">
        <v>888</v>
      </c>
      <c r="J272" s="7" t="s">
        <v>800</v>
      </c>
    </row>
    <row r="273" spans="1:10" hidden="1" x14ac:dyDescent="0.35">
      <c r="A273" s="7">
        <f>ROW()-ROW(BARANGKELUAR!$A$3)</f>
        <v>270</v>
      </c>
      <c r="B273" s="7" t="s">
        <v>1490</v>
      </c>
      <c r="C273" s="31">
        <v>46006</v>
      </c>
      <c r="D273" s="7" t="s">
        <v>760</v>
      </c>
      <c r="E273" s="34" t="s">
        <v>759</v>
      </c>
      <c r="F273" s="7" t="s">
        <v>562</v>
      </c>
      <c r="G273" s="7" t="s">
        <v>7</v>
      </c>
      <c r="H273" s="7">
        <v>1</v>
      </c>
      <c r="I273" s="7" t="s">
        <v>888</v>
      </c>
      <c r="J273" s="7" t="s">
        <v>800</v>
      </c>
    </row>
    <row r="274" spans="1:10" hidden="1" x14ac:dyDescent="0.35">
      <c r="A274" s="7">
        <f>ROW()-ROW(BARANGKELUAR!$A$3)</f>
        <v>271</v>
      </c>
      <c r="B274" s="7" t="s">
        <v>1491</v>
      </c>
      <c r="C274" s="31">
        <v>46006</v>
      </c>
      <c r="D274" s="7" t="s">
        <v>454</v>
      </c>
      <c r="E274" s="34" t="s">
        <v>455</v>
      </c>
      <c r="F274" s="7" t="s">
        <v>106</v>
      </c>
      <c r="G274" s="7" t="s">
        <v>7</v>
      </c>
      <c r="H274" s="7">
        <v>1</v>
      </c>
      <c r="I274" s="7" t="s">
        <v>888</v>
      </c>
      <c r="J274" s="7" t="s">
        <v>800</v>
      </c>
    </row>
    <row r="275" spans="1:10" hidden="1" x14ac:dyDescent="0.35">
      <c r="A275" s="7">
        <f>ROW()-ROW(BARANGKELUAR!$A$3)</f>
        <v>272</v>
      </c>
      <c r="B275" s="7" t="s">
        <v>1492</v>
      </c>
      <c r="C275" s="31">
        <v>46006</v>
      </c>
      <c r="D275" s="7" t="s">
        <v>25</v>
      </c>
      <c r="E275" s="34" t="s">
        <v>50</v>
      </c>
      <c r="F275" s="7" t="s">
        <v>27</v>
      </c>
      <c r="G275" s="7" t="s">
        <v>7</v>
      </c>
      <c r="H275" s="7">
        <v>1</v>
      </c>
      <c r="I275" s="7" t="s">
        <v>888</v>
      </c>
      <c r="J275" s="7" t="s">
        <v>800</v>
      </c>
    </row>
    <row r="276" spans="1:10" hidden="1" x14ac:dyDescent="0.35">
      <c r="A276" s="7">
        <f>ROW()-ROW(BARANGKELUAR!$A$3)</f>
        <v>273</v>
      </c>
      <c r="B276" s="7" t="s">
        <v>1493</v>
      </c>
      <c r="C276" s="31">
        <v>46006</v>
      </c>
      <c r="D276" s="7" t="s">
        <v>1435</v>
      </c>
      <c r="E276" s="34" t="s">
        <v>1436</v>
      </c>
      <c r="F276" s="7" t="s">
        <v>30</v>
      </c>
      <c r="G276" s="7" t="s">
        <v>7</v>
      </c>
      <c r="H276" s="7">
        <v>1</v>
      </c>
      <c r="I276" s="7" t="s">
        <v>891</v>
      </c>
      <c r="J276" s="7" t="s">
        <v>835</v>
      </c>
    </row>
    <row r="277" spans="1:10" hidden="1" x14ac:dyDescent="0.35">
      <c r="A277" s="7">
        <f>ROW()-ROW(BARANGKELUAR!$A$3)</f>
        <v>274</v>
      </c>
      <c r="B277" s="7" t="s">
        <v>1494</v>
      </c>
      <c r="C277" s="31">
        <v>46006</v>
      </c>
      <c r="D277" s="7" t="s">
        <v>25</v>
      </c>
      <c r="E277" s="34" t="s">
        <v>50</v>
      </c>
      <c r="F277" s="7" t="s">
        <v>27</v>
      </c>
      <c r="G277" s="7" t="s">
        <v>7</v>
      </c>
      <c r="H277" s="7">
        <v>1</v>
      </c>
      <c r="I277" s="7" t="s">
        <v>822</v>
      </c>
      <c r="J277" s="7" t="s">
        <v>818</v>
      </c>
    </row>
    <row r="278" spans="1:10" hidden="1" x14ac:dyDescent="0.35">
      <c r="A278" s="7">
        <f>ROW()-ROW(BARANGKELUAR!$A$3)</f>
        <v>275</v>
      </c>
      <c r="B278" s="7" t="s">
        <v>1498</v>
      </c>
      <c r="C278" s="31">
        <v>46006</v>
      </c>
      <c r="D278" s="7" t="s">
        <v>25</v>
      </c>
      <c r="E278" s="34" t="s">
        <v>50</v>
      </c>
      <c r="F278" s="7" t="s">
        <v>27</v>
      </c>
      <c r="G278" s="7" t="s">
        <v>7</v>
      </c>
      <c r="H278" s="7">
        <v>1</v>
      </c>
      <c r="I278" s="7" t="s">
        <v>822</v>
      </c>
      <c r="J278" s="7" t="s">
        <v>818</v>
      </c>
    </row>
    <row r="279" spans="1:10" hidden="1" x14ac:dyDescent="0.35">
      <c r="A279" s="7">
        <f>ROW()-ROW(BARANGKELUAR!$A$3)</f>
        <v>276</v>
      </c>
      <c r="B279" s="7" t="s">
        <v>1499</v>
      </c>
      <c r="C279" s="31">
        <v>46007</v>
      </c>
      <c r="D279" s="7" t="s">
        <v>25</v>
      </c>
      <c r="E279" s="34" t="s">
        <v>50</v>
      </c>
      <c r="F279" s="7" t="s">
        <v>27</v>
      </c>
      <c r="G279" s="7" t="s">
        <v>7</v>
      </c>
      <c r="H279" s="7">
        <v>1</v>
      </c>
      <c r="I279" s="7" t="s">
        <v>820</v>
      </c>
      <c r="J279" s="7" t="s">
        <v>800</v>
      </c>
    </row>
    <row r="280" spans="1:10" hidden="1" x14ac:dyDescent="0.35">
      <c r="A280" s="7">
        <f>ROW()-ROW(BARANGKELUAR!$A$3)</f>
        <v>277</v>
      </c>
      <c r="B280" s="7" t="s">
        <v>1534</v>
      </c>
      <c r="C280" s="31">
        <v>46001</v>
      </c>
      <c r="D280" s="7" t="s">
        <v>1495</v>
      </c>
      <c r="E280" s="34" t="s">
        <v>1496</v>
      </c>
      <c r="F280" s="7" t="s">
        <v>1409</v>
      </c>
      <c r="G280" s="7" t="s">
        <v>7</v>
      </c>
      <c r="H280" s="7">
        <v>1</v>
      </c>
      <c r="I280" s="7" t="s">
        <v>891</v>
      </c>
      <c r="J280" s="7" t="s">
        <v>835</v>
      </c>
    </row>
    <row r="281" spans="1:10" hidden="1" x14ac:dyDescent="0.35">
      <c r="A281" s="7">
        <f>ROW()-ROW(BARANGKELUAR!$A$3)</f>
        <v>278</v>
      </c>
      <c r="B281" s="7" t="s">
        <v>1535</v>
      </c>
      <c r="C281" s="31">
        <v>46008</v>
      </c>
      <c r="D281" s="7" t="s">
        <v>25</v>
      </c>
      <c r="E281" s="34" t="s">
        <v>50</v>
      </c>
      <c r="F281" s="7" t="s">
        <v>27</v>
      </c>
      <c r="G281" s="7" t="s">
        <v>7</v>
      </c>
      <c r="H281" s="7">
        <v>10</v>
      </c>
      <c r="I281" s="7" t="s">
        <v>888</v>
      </c>
      <c r="J281" s="7" t="s">
        <v>800</v>
      </c>
    </row>
    <row r="282" spans="1:10" hidden="1" x14ac:dyDescent="0.35">
      <c r="A282" s="7">
        <f>ROW()-ROW(BARANGKELUAR!$A$3)</f>
        <v>279</v>
      </c>
      <c r="B282" s="7" t="s">
        <v>1536</v>
      </c>
      <c r="C282" s="31">
        <v>46014</v>
      </c>
      <c r="D282" s="7" t="s">
        <v>25</v>
      </c>
      <c r="E282" s="34" t="s">
        <v>50</v>
      </c>
      <c r="F282" s="7" t="s">
        <v>27</v>
      </c>
      <c r="G282" s="7" t="s">
        <v>7</v>
      </c>
      <c r="H282" s="7">
        <v>8</v>
      </c>
      <c r="I282" s="7" t="s">
        <v>888</v>
      </c>
      <c r="J282" s="7" t="s">
        <v>800</v>
      </c>
    </row>
    <row r="283" spans="1:10" hidden="1" x14ac:dyDescent="0.35">
      <c r="A283" s="7">
        <f>ROW()-ROW(BARANGKELUAR!$A$3)</f>
        <v>280</v>
      </c>
      <c r="B283" s="7" t="s">
        <v>1537</v>
      </c>
      <c r="C283" s="31">
        <v>46014</v>
      </c>
      <c r="D283" s="7" t="s">
        <v>122</v>
      </c>
      <c r="E283" s="34" t="s">
        <v>123</v>
      </c>
      <c r="F283" s="7" t="s">
        <v>521</v>
      </c>
      <c r="G283" s="7" t="s">
        <v>7</v>
      </c>
      <c r="H283" s="7">
        <v>9</v>
      </c>
      <c r="I283" s="7" t="s">
        <v>888</v>
      </c>
      <c r="J283" s="7" t="s">
        <v>800</v>
      </c>
    </row>
    <row r="284" spans="1:10" hidden="1" x14ac:dyDescent="0.35">
      <c r="A284" s="7">
        <f>ROW()-ROW(BARANGKELUAR!$A$3)</f>
        <v>281</v>
      </c>
      <c r="B284" s="7" t="s">
        <v>1538</v>
      </c>
      <c r="C284" s="31">
        <v>46014</v>
      </c>
      <c r="D284" s="7" t="s">
        <v>433</v>
      </c>
      <c r="E284" s="34" t="s">
        <v>434</v>
      </c>
      <c r="F284" s="7" t="s">
        <v>435</v>
      </c>
      <c r="G284" s="7" t="s">
        <v>7</v>
      </c>
      <c r="H284" s="7">
        <v>4</v>
      </c>
      <c r="I284" s="7" t="s">
        <v>888</v>
      </c>
      <c r="J284" s="7" t="s">
        <v>800</v>
      </c>
    </row>
    <row r="285" spans="1:10" hidden="1" x14ac:dyDescent="0.35">
      <c r="A285" s="7">
        <f>ROW()-ROW(BARANGKELUAR!$A$3)</f>
        <v>282</v>
      </c>
      <c r="B285" s="7" t="s">
        <v>1539</v>
      </c>
      <c r="C285" s="31">
        <v>46014</v>
      </c>
      <c r="D285" s="7" t="s">
        <v>1502</v>
      </c>
      <c r="E285" s="34" t="s">
        <v>1503</v>
      </c>
      <c r="F285" s="7" t="s">
        <v>30</v>
      </c>
      <c r="G285" s="7" t="s">
        <v>7</v>
      </c>
      <c r="H285" s="7">
        <v>1</v>
      </c>
      <c r="I285" s="7" t="s">
        <v>888</v>
      </c>
      <c r="J285" s="7" t="s">
        <v>800</v>
      </c>
    </row>
    <row r="286" spans="1:10" hidden="1" x14ac:dyDescent="0.35">
      <c r="A286" s="7">
        <f>ROW()-ROW(BARANGKELUAR!$A$3)</f>
        <v>283</v>
      </c>
      <c r="B286" s="7" t="s">
        <v>1540</v>
      </c>
      <c r="C286" s="31">
        <v>46014</v>
      </c>
      <c r="D286" s="7" t="s">
        <v>600</v>
      </c>
      <c r="E286" s="34" t="s">
        <v>601</v>
      </c>
      <c r="F286" s="7" t="s">
        <v>30</v>
      </c>
      <c r="G286" s="7" t="s">
        <v>7</v>
      </c>
      <c r="H286" s="7">
        <v>3</v>
      </c>
      <c r="I286" s="7" t="s">
        <v>888</v>
      </c>
      <c r="J286" s="7" t="s">
        <v>800</v>
      </c>
    </row>
    <row r="287" spans="1:10" hidden="1" x14ac:dyDescent="0.35">
      <c r="A287" s="7">
        <f>ROW()-ROW(BARANGKELUAR!$A$3)</f>
        <v>284</v>
      </c>
      <c r="B287" s="7" t="s">
        <v>1541</v>
      </c>
      <c r="C287" s="31">
        <v>46014</v>
      </c>
      <c r="D287" s="7" t="s">
        <v>865</v>
      </c>
      <c r="E287" s="34" t="s">
        <v>866</v>
      </c>
      <c r="F287" s="7" t="s">
        <v>562</v>
      </c>
      <c r="G287" s="7" t="s">
        <v>7</v>
      </c>
      <c r="H287" s="7">
        <v>4</v>
      </c>
      <c r="I287" s="7" t="s">
        <v>888</v>
      </c>
      <c r="J287" s="7" t="s">
        <v>800</v>
      </c>
    </row>
    <row r="288" spans="1:10" hidden="1" x14ac:dyDescent="0.35">
      <c r="A288" s="7">
        <f>ROW()-ROW(BARANGKELUAR!$A$3)</f>
        <v>285</v>
      </c>
      <c r="B288" s="7" t="s">
        <v>1542</v>
      </c>
      <c r="C288" s="31">
        <v>46014</v>
      </c>
      <c r="D288" s="7" t="s">
        <v>1330</v>
      </c>
      <c r="E288" s="34" t="s">
        <v>1331</v>
      </c>
      <c r="F288" s="7" t="s">
        <v>106</v>
      </c>
      <c r="G288" s="7" t="s">
        <v>7</v>
      </c>
      <c r="H288" s="7">
        <v>2</v>
      </c>
      <c r="I288" s="7" t="s">
        <v>888</v>
      </c>
      <c r="J288" s="7" t="s">
        <v>800</v>
      </c>
    </row>
    <row r="289" spans="1:10" hidden="1" x14ac:dyDescent="0.35">
      <c r="A289" s="7">
        <f>ROW()-ROW(BARANGKELUAR!$A$3)</f>
        <v>286</v>
      </c>
      <c r="B289" s="7" t="s">
        <v>1543</v>
      </c>
      <c r="C289" s="31">
        <v>46014</v>
      </c>
      <c r="D289" s="7" t="s">
        <v>335</v>
      </c>
      <c r="E289" s="34" t="s">
        <v>336</v>
      </c>
      <c r="F289" s="7" t="s">
        <v>47</v>
      </c>
      <c r="G289" s="7" t="s">
        <v>7</v>
      </c>
      <c r="H289" s="7">
        <v>1</v>
      </c>
      <c r="I289" s="7" t="s">
        <v>888</v>
      </c>
      <c r="J289" s="7" t="s">
        <v>800</v>
      </c>
    </row>
    <row r="290" spans="1:10" hidden="1" x14ac:dyDescent="0.35">
      <c r="A290" s="7">
        <f>ROW()-ROW(BARANGKELUAR!$A$3)</f>
        <v>287</v>
      </c>
      <c r="B290" s="7" t="s">
        <v>1544</v>
      </c>
      <c r="C290" s="31">
        <v>46014</v>
      </c>
      <c r="D290" s="7" t="s">
        <v>653</v>
      </c>
      <c r="E290" s="34" t="s">
        <v>654</v>
      </c>
      <c r="F290" s="7" t="s">
        <v>30</v>
      </c>
      <c r="G290" s="7" t="s">
        <v>7</v>
      </c>
      <c r="H290" s="7">
        <v>2</v>
      </c>
      <c r="I290" s="7" t="s">
        <v>888</v>
      </c>
      <c r="J290" s="7" t="s">
        <v>800</v>
      </c>
    </row>
    <row r="291" spans="1:10" hidden="1" x14ac:dyDescent="0.35">
      <c r="A291" s="7">
        <f>ROW()-ROW(BARANGKELUAR!$A$3)</f>
        <v>288</v>
      </c>
      <c r="B291" s="7" t="s">
        <v>1545</v>
      </c>
      <c r="C291" s="31">
        <v>46014</v>
      </c>
      <c r="D291" s="7" t="s">
        <v>113</v>
      </c>
      <c r="E291" s="34" t="s">
        <v>114</v>
      </c>
      <c r="F291" s="7" t="s">
        <v>41</v>
      </c>
      <c r="G291" s="7" t="s">
        <v>7</v>
      </c>
      <c r="H291" s="7">
        <v>3</v>
      </c>
      <c r="I291" s="7" t="s">
        <v>888</v>
      </c>
      <c r="J291" s="7" t="s">
        <v>800</v>
      </c>
    </row>
    <row r="292" spans="1:10" hidden="1" x14ac:dyDescent="0.35">
      <c r="A292" s="7">
        <f>ROW()-ROW(BARANGKELUAR!$A$3)</f>
        <v>289</v>
      </c>
      <c r="B292" s="7" t="s">
        <v>1546</v>
      </c>
      <c r="C292" s="31">
        <v>46014</v>
      </c>
      <c r="D292" s="7" t="s">
        <v>136</v>
      </c>
      <c r="E292" s="34" t="s">
        <v>137</v>
      </c>
      <c r="F292" s="7" t="s">
        <v>30</v>
      </c>
      <c r="G292" s="7" t="s">
        <v>7</v>
      </c>
      <c r="H292" s="7">
        <v>3</v>
      </c>
      <c r="I292" s="7" t="s">
        <v>888</v>
      </c>
      <c r="J292" s="7" t="s">
        <v>800</v>
      </c>
    </row>
    <row r="293" spans="1:10" hidden="1" x14ac:dyDescent="0.35">
      <c r="A293" s="7">
        <f>ROW()-ROW(BARANGKELUAR!$A$3)</f>
        <v>290</v>
      </c>
      <c r="B293" s="7" t="s">
        <v>1547</v>
      </c>
      <c r="C293" s="31">
        <v>46014</v>
      </c>
      <c r="D293" s="7" t="s">
        <v>1517</v>
      </c>
      <c r="E293" s="34" t="s">
        <v>1518</v>
      </c>
      <c r="F293" s="7" t="s">
        <v>30</v>
      </c>
      <c r="G293" s="7" t="s">
        <v>7</v>
      </c>
      <c r="H293" s="7">
        <v>10</v>
      </c>
      <c r="I293" s="7" t="s">
        <v>888</v>
      </c>
      <c r="J293" s="7" t="s">
        <v>800</v>
      </c>
    </row>
    <row r="294" spans="1:10" hidden="1" x14ac:dyDescent="0.35">
      <c r="A294" s="7">
        <f>ROW()-ROW(BARANGKELUAR!$A$3)</f>
        <v>291</v>
      </c>
      <c r="B294" s="7" t="s">
        <v>1548</v>
      </c>
      <c r="C294" s="31">
        <v>46014</v>
      </c>
      <c r="D294" s="7" t="s">
        <v>95</v>
      </c>
      <c r="E294" s="34" t="s">
        <v>96</v>
      </c>
      <c r="F294" s="7" t="s">
        <v>30</v>
      </c>
      <c r="G294" s="7" t="s">
        <v>7</v>
      </c>
      <c r="H294" s="7">
        <v>1</v>
      </c>
      <c r="I294" s="7" t="s">
        <v>888</v>
      </c>
      <c r="J294" s="7" t="s">
        <v>800</v>
      </c>
    </row>
    <row r="295" spans="1:10" hidden="1" x14ac:dyDescent="0.35">
      <c r="A295" s="7">
        <f>ROW()-ROW(BARANGKELUAR!$A$3)</f>
        <v>292</v>
      </c>
      <c r="B295" s="7" t="s">
        <v>1549</v>
      </c>
      <c r="C295" s="31">
        <v>46015</v>
      </c>
      <c r="D295" s="7" t="s">
        <v>25</v>
      </c>
      <c r="E295" s="34" t="s">
        <v>50</v>
      </c>
      <c r="F295" s="7" t="s">
        <v>27</v>
      </c>
      <c r="G295" s="7" t="s">
        <v>7</v>
      </c>
      <c r="H295" s="7">
        <v>10</v>
      </c>
      <c r="I295" s="7" t="s">
        <v>888</v>
      </c>
      <c r="J295" s="7" t="s">
        <v>800</v>
      </c>
    </row>
    <row r="296" spans="1:10" hidden="1" x14ac:dyDescent="0.35">
      <c r="A296" s="7">
        <f>ROW()-ROW(BARANGKELUAR!$A$3)</f>
        <v>293</v>
      </c>
      <c r="B296" s="7" t="s">
        <v>1550</v>
      </c>
      <c r="C296" s="31">
        <v>46015</v>
      </c>
      <c r="D296" s="7" t="s">
        <v>148</v>
      </c>
      <c r="E296" s="34" t="s">
        <v>149</v>
      </c>
      <c r="F296" s="7" t="s">
        <v>41</v>
      </c>
      <c r="G296" s="7" t="s">
        <v>7</v>
      </c>
      <c r="H296" s="7">
        <v>3</v>
      </c>
      <c r="I296" s="7" t="s">
        <v>888</v>
      </c>
      <c r="J296" s="7" t="s">
        <v>800</v>
      </c>
    </row>
    <row r="297" spans="1:10" hidden="1" x14ac:dyDescent="0.35">
      <c r="A297" s="7">
        <f>ROW()-ROW(BARANGKELUAR!$A$3)</f>
        <v>294</v>
      </c>
      <c r="B297" s="7" t="s">
        <v>1551</v>
      </c>
      <c r="C297" s="31">
        <v>46015</v>
      </c>
      <c r="D297" s="7" t="s">
        <v>1000</v>
      </c>
      <c r="E297" s="34" t="s">
        <v>1001</v>
      </c>
      <c r="F297" s="7" t="s">
        <v>41</v>
      </c>
      <c r="G297" s="7" t="s">
        <v>7</v>
      </c>
      <c r="H297" s="7">
        <v>10</v>
      </c>
      <c r="I297" s="7" t="s">
        <v>888</v>
      </c>
      <c r="J297" s="7" t="s">
        <v>800</v>
      </c>
    </row>
    <row r="298" spans="1:10" hidden="1" x14ac:dyDescent="0.35">
      <c r="A298" s="7">
        <f>ROW()-ROW(BARANGKELUAR!$A$3)</f>
        <v>295</v>
      </c>
      <c r="B298" s="7" t="s">
        <v>1552</v>
      </c>
      <c r="C298" s="31">
        <v>46015</v>
      </c>
      <c r="D298" s="7" t="s">
        <v>1002</v>
      </c>
      <c r="E298" s="34" t="s">
        <v>1003</v>
      </c>
      <c r="F298" s="7" t="s">
        <v>435</v>
      </c>
      <c r="G298" s="7" t="s">
        <v>7</v>
      </c>
      <c r="H298" s="7">
        <v>2</v>
      </c>
      <c r="I298" s="7" t="s">
        <v>888</v>
      </c>
      <c r="J298" s="7" t="s">
        <v>800</v>
      </c>
    </row>
    <row r="299" spans="1:10" hidden="1" x14ac:dyDescent="0.35">
      <c r="A299" s="7">
        <f>ROW()-ROW(BARANGKELUAR!$A$3)</f>
        <v>296</v>
      </c>
      <c r="B299" s="7" t="s">
        <v>1553</v>
      </c>
      <c r="C299" s="31">
        <v>46015</v>
      </c>
      <c r="D299" s="7" t="s">
        <v>58</v>
      </c>
      <c r="E299" s="34" t="s">
        <v>59</v>
      </c>
      <c r="F299" s="7" t="s">
        <v>35</v>
      </c>
      <c r="G299" s="7" t="s">
        <v>7</v>
      </c>
      <c r="H299" s="7">
        <v>2</v>
      </c>
      <c r="I299" s="7" t="s">
        <v>888</v>
      </c>
      <c r="J299" s="7" t="s">
        <v>800</v>
      </c>
    </row>
    <row r="300" spans="1:10" hidden="1" x14ac:dyDescent="0.35">
      <c r="A300" s="7">
        <f>ROW()-ROW(BARANGKELUAR!$A$3)</f>
        <v>297</v>
      </c>
      <c r="B300" s="7" t="s">
        <v>1554</v>
      </c>
      <c r="C300" s="31">
        <v>46015</v>
      </c>
      <c r="D300" s="7" t="s">
        <v>25</v>
      </c>
      <c r="E300" s="34" t="s">
        <v>50</v>
      </c>
      <c r="F300" s="7" t="s">
        <v>27</v>
      </c>
      <c r="G300" s="7" t="s">
        <v>7</v>
      </c>
      <c r="H300" s="7">
        <v>8</v>
      </c>
      <c r="I300" s="7" t="s">
        <v>888</v>
      </c>
      <c r="J300" s="7" t="s">
        <v>800</v>
      </c>
    </row>
    <row r="301" spans="1:10" hidden="1" x14ac:dyDescent="0.35">
      <c r="A301" s="7">
        <f>ROW()-ROW(BARANGKELUAR!$A$3)</f>
        <v>298</v>
      </c>
      <c r="B301" s="7" t="s">
        <v>1558</v>
      </c>
      <c r="C301" s="31">
        <v>46015</v>
      </c>
      <c r="D301" s="7" t="s">
        <v>1555</v>
      </c>
      <c r="E301" s="34" t="s">
        <v>1556</v>
      </c>
      <c r="F301" s="7" t="s">
        <v>30</v>
      </c>
      <c r="G301" s="7" t="s">
        <v>7</v>
      </c>
      <c r="H301" s="7">
        <v>1</v>
      </c>
      <c r="I301" s="7" t="s">
        <v>888</v>
      </c>
      <c r="J301" s="7" t="s">
        <v>800</v>
      </c>
    </row>
    <row r="302" spans="1:10" hidden="1" x14ac:dyDescent="0.35">
      <c r="A302" s="7">
        <f>ROW()-ROW(BARANGKELUAR!$A$3)</f>
        <v>299</v>
      </c>
      <c r="B302" s="7" t="s">
        <v>1559</v>
      </c>
      <c r="C302" s="31">
        <v>46015</v>
      </c>
      <c r="D302" s="7" t="s">
        <v>588</v>
      </c>
      <c r="E302" s="34" t="s">
        <v>589</v>
      </c>
      <c r="F302" s="7" t="s">
        <v>562</v>
      </c>
      <c r="G302" s="7" t="s">
        <v>7</v>
      </c>
      <c r="H302" s="7">
        <v>1</v>
      </c>
      <c r="I302" s="7" t="s">
        <v>883</v>
      </c>
      <c r="J302" s="7" t="s">
        <v>806</v>
      </c>
    </row>
    <row r="303" spans="1:10" hidden="1" x14ac:dyDescent="0.35">
      <c r="A303" s="7">
        <f>ROW()-ROW(BARANGKELUAR!$A$3)</f>
        <v>300</v>
      </c>
      <c r="B303" s="7" t="s">
        <v>1560</v>
      </c>
      <c r="C303" s="31">
        <v>46015</v>
      </c>
      <c r="D303" s="7" t="s">
        <v>1092</v>
      </c>
      <c r="E303" s="34" t="s">
        <v>1093</v>
      </c>
      <c r="F303" s="7" t="s">
        <v>30</v>
      </c>
      <c r="G303" s="7" t="s">
        <v>7</v>
      </c>
      <c r="H303" s="7">
        <v>1</v>
      </c>
      <c r="I303" s="7" t="s">
        <v>883</v>
      </c>
      <c r="J303" s="7" t="s">
        <v>806</v>
      </c>
    </row>
    <row r="304" spans="1:10" hidden="1" x14ac:dyDescent="0.35">
      <c r="A304" s="7">
        <f>ROW()-ROW(BARANGKELUAR!$A$3)</f>
        <v>301</v>
      </c>
      <c r="B304" s="7" t="s">
        <v>1561</v>
      </c>
      <c r="C304" s="31">
        <v>46015</v>
      </c>
      <c r="D304" s="7" t="s">
        <v>138</v>
      </c>
      <c r="E304" s="34" t="s">
        <v>139</v>
      </c>
      <c r="F304" s="7" t="s">
        <v>30</v>
      </c>
      <c r="G304" s="7" t="s">
        <v>7</v>
      </c>
      <c r="H304" s="7">
        <v>1</v>
      </c>
      <c r="I304" s="7" t="s">
        <v>811</v>
      </c>
      <c r="J304" s="7" t="s">
        <v>803</v>
      </c>
    </row>
    <row r="305" spans="1:10" hidden="1" x14ac:dyDescent="0.35">
      <c r="A305" s="7">
        <f>ROW()-ROW(BARANGKELUAR!$A$3)</f>
        <v>302</v>
      </c>
      <c r="B305" s="7" t="s">
        <v>1562</v>
      </c>
      <c r="C305" s="31">
        <v>46019</v>
      </c>
      <c r="D305" s="7" t="s">
        <v>948</v>
      </c>
      <c r="E305" s="34" t="s">
        <v>949</v>
      </c>
      <c r="F305" s="7" t="s">
        <v>106</v>
      </c>
      <c r="G305" s="7" t="s">
        <v>7</v>
      </c>
      <c r="H305" s="7">
        <v>1</v>
      </c>
      <c r="I305" s="7" t="s">
        <v>900</v>
      </c>
      <c r="J305" s="7" t="s">
        <v>800</v>
      </c>
    </row>
    <row r="306" spans="1:10" hidden="1" x14ac:dyDescent="0.35">
      <c r="A306" s="7">
        <f>ROW()-ROW(BARANGKELUAR!$A$3)</f>
        <v>303</v>
      </c>
      <c r="B306" s="7" t="s">
        <v>1563</v>
      </c>
      <c r="C306" s="31">
        <v>46020</v>
      </c>
      <c r="D306" s="7" t="s">
        <v>25</v>
      </c>
      <c r="E306" s="34" t="s">
        <v>50</v>
      </c>
      <c r="F306" s="7" t="s">
        <v>27</v>
      </c>
      <c r="G306" s="7" t="s">
        <v>7</v>
      </c>
      <c r="H306" s="7">
        <v>1</v>
      </c>
      <c r="I306" s="7" t="s">
        <v>820</v>
      </c>
      <c r="J306" s="7" t="s">
        <v>800</v>
      </c>
    </row>
    <row r="307" spans="1:10" hidden="1" x14ac:dyDescent="0.35">
      <c r="A307" s="7">
        <f>ROW()-ROW(BARANGKELUAR!$A$3)</f>
        <v>304</v>
      </c>
      <c r="B307" s="7" t="s">
        <v>1564</v>
      </c>
      <c r="C307" s="31">
        <v>46020</v>
      </c>
      <c r="D307" s="7" t="s">
        <v>1092</v>
      </c>
      <c r="E307" s="34" t="s">
        <v>1093</v>
      </c>
      <c r="F307" s="7" t="s">
        <v>30</v>
      </c>
      <c r="G307" s="7" t="s">
        <v>7</v>
      </c>
      <c r="H307" s="7">
        <v>1</v>
      </c>
      <c r="I307" s="7" t="s">
        <v>891</v>
      </c>
      <c r="J307" s="7" t="s">
        <v>835</v>
      </c>
    </row>
    <row r="308" spans="1:10" hidden="1" x14ac:dyDescent="0.35">
      <c r="A308" s="7">
        <f>ROW()-ROW(BARANGKELUAR!$A$3)</f>
        <v>305</v>
      </c>
      <c r="B308" s="7" t="s">
        <v>1574</v>
      </c>
      <c r="C308" s="31">
        <v>46024</v>
      </c>
      <c r="D308" s="7" t="s">
        <v>1316</v>
      </c>
      <c r="E308" s="34" t="s">
        <v>1317</v>
      </c>
      <c r="F308" s="7" t="s">
        <v>562</v>
      </c>
      <c r="G308" s="7" t="s">
        <v>7</v>
      </c>
      <c r="H308" s="7">
        <v>1</v>
      </c>
      <c r="I308" s="7" t="s">
        <v>805</v>
      </c>
      <c r="J308" s="7" t="s">
        <v>806</v>
      </c>
    </row>
    <row r="309" spans="1:10" hidden="1" x14ac:dyDescent="0.35">
      <c r="A309" s="7">
        <f>ROW()-ROW(BARANGKELUAR!$A$3)</f>
        <v>306</v>
      </c>
      <c r="B309" s="7" t="s">
        <v>1575</v>
      </c>
      <c r="C309" s="31">
        <v>46028</v>
      </c>
      <c r="D309" s="7" t="s">
        <v>25</v>
      </c>
      <c r="E309" s="34" t="s">
        <v>50</v>
      </c>
      <c r="F309" s="7" t="s">
        <v>27</v>
      </c>
      <c r="G309" s="7" t="s">
        <v>7</v>
      </c>
      <c r="H309" s="7">
        <v>1</v>
      </c>
      <c r="I309" s="7" t="s">
        <v>799</v>
      </c>
      <c r="J309" s="7" t="s">
        <v>800</v>
      </c>
    </row>
    <row r="310" spans="1:10" hidden="1" x14ac:dyDescent="0.35">
      <c r="A310" s="7">
        <f>ROW()-ROW(BARANGKELUAR!$A$3)</f>
        <v>307</v>
      </c>
      <c r="B310" s="7" t="s">
        <v>1576</v>
      </c>
      <c r="C310" s="31">
        <v>46029</v>
      </c>
      <c r="D310" s="7" t="s">
        <v>454</v>
      </c>
      <c r="E310" s="34" t="s">
        <v>455</v>
      </c>
      <c r="F310" s="7" t="s">
        <v>106</v>
      </c>
      <c r="G310" s="7" t="s">
        <v>7</v>
      </c>
      <c r="H310" s="7">
        <v>2</v>
      </c>
      <c r="I310" s="7" t="s">
        <v>827</v>
      </c>
      <c r="J310" s="7" t="s">
        <v>828</v>
      </c>
    </row>
    <row r="311" spans="1:10" hidden="1" x14ac:dyDescent="0.35">
      <c r="A311" s="7">
        <f>ROW()-ROW(BARANGKELUAR!$A$3)</f>
        <v>308</v>
      </c>
      <c r="B311" s="7" t="s">
        <v>1577</v>
      </c>
      <c r="C311" s="31">
        <v>46030</v>
      </c>
      <c r="D311" s="7" t="s">
        <v>1348</v>
      </c>
      <c r="E311" s="34" t="s">
        <v>1349</v>
      </c>
      <c r="F311" s="7" t="s">
        <v>304</v>
      </c>
      <c r="G311" s="7" t="s">
        <v>7</v>
      </c>
      <c r="H311" s="7">
        <v>1</v>
      </c>
      <c r="I311" s="7" t="s">
        <v>802</v>
      </c>
      <c r="J311" s="7" t="s">
        <v>803</v>
      </c>
    </row>
    <row r="312" spans="1:10" hidden="1" x14ac:dyDescent="0.35">
      <c r="A312" s="7">
        <f>ROW()-ROW(BARANGKELUAR!$A$3)</f>
        <v>309</v>
      </c>
      <c r="B312" s="7" t="s">
        <v>1578</v>
      </c>
      <c r="C312" s="31">
        <v>46031</v>
      </c>
      <c r="D312" s="7" t="s">
        <v>25</v>
      </c>
      <c r="E312" s="34" t="s">
        <v>50</v>
      </c>
      <c r="F312" s="7" t="s">
        <v>27</v>
      </c>
      <c r="G312" s="7" t="s">
        <v>7</v>
      </c>
      <c r="H312" s="7">
        <v>2</v>
      </c>
      <c r="I312" s="7" t="s">
        <v>817</v>
      </c>
      <c r="J312" s="7" t="s">
        <v>818</v>
      </c>
    </row>
    <row r="313" spans="1:10" hidden="1" x14ac:dyDescent="0.35">
      <c r="A313" s="7">
        <f>ROW()-ROW(BARANGKELUAR!$A$3)</f>
        <v>310</v>
      </c>
      <c r="B313" s="7" t="s">
        <v>1579</v>
      </c>
      <c r="C313" s="31">
        <v>46034</v>
      </c>
      <c r="D313" s="7" t="s">
        <v>861</v>
      </c>
      <c r="E313" s="34" t="s">
        <v>862</v>
      </c>
      <c r="F313" s="7" t="s">
        <v>562</v>
      </c>
      <c r="G313" s="7" t="s">
        <v>7</v>
      </c>
      <c r="H313" s="7">
        <v>1</v>
      </c>
      <c r="I313" s="7" t="s">
        <v>834</v>
      </c>
      <c r="J313" s="7" t="s">
        <v>835</v>
      </c>
    </row>
    <row r="314" spans="1:10" hidden="1" x14ac:dyDescent="0.35">
      <c r="A314" s="7">
        <f>ROW()-ROW(BARANGKELUAR!$A$3)</f>
        <v>311</v>
      </c>
      <c r="B314" s="7" t="s">
        <v>1580</v>
      </c>
      <c r="C314" s="31">
        <v>46035</v>
      </c>
      <c r="D314" s="7" t="s">
        <v>440</v>
      </c>
      <c r="E314" s="34" t="s">
        <v>441</v>
      </c>
      <c r="F314" s="7" t="s">
        <v>41</v>
      </c>
      <c r="G314" s="7" t="s">
        <v>7</v>
      </c>
      <c r="H314" s="7">
        <v>1</v>
      </c>
      <c r="I314" s="7" t="s">
        <v>812</v>
      </c>
      <c r="J314" s="7" t="s">
        <v>803</v>
      </c>
    </row>
    <row r="315" spans="1:10" hidden="1" x14ac:dyDescent="0.35">
      <c r="A315" s="7">
        <f>ROW()-ROW(BARANGKELUAR!$A$3)</f>
        <v>312</v>
      </c>
      <c r="B315" s="7" t="s">
        <v>1581</v>
      </c>
      <c r="C315" s="31">
        <v>46035</v>
      </c>
      <c r="D315" s="7" t="s">
        <v>25</v>
      </c>
      <c r="E315" s="34" t="s">
        <v>50</v>
      </c>
      <c r="F315" s="7" t="s">
        <v>27</v>
      </c>
      <c r="G315" s="7" t="s">
        <v>7</v>
      </c>
      <c r="H315" s="7">
        <v>1</v>
      </c>
      <c r="I315" s="7" t="s">
        <v>820</v>
      </c>
      <c r="J315" s="7" t="s">
        <v>800</v>
      </c>
    </row>
    <row r="316" spans="1:10" hidden="1" x14ac:dyDescent="0.35">
      <c r="A316" s="7">
        <f>ROW()-ROW(BARANGKELUAR!$A$3)</f>
        <v>313</v>
      </c>
      <c r="B316" s="7" t="s">
        <v>1582</v>
      </c>
      <c r="C316" s="31">
        <v>46036</v>
      </c>
      <c r="D316" s="7" t="s">
        <v>861</v>
      </c>
      <c r="E316" s="34" t="s">
        <v>862</v>
      </c>
      <c r="F316" s="7" t="s">
        <v>562</v>
      </c>
      <c r="G316" s="7" t="s">
        <v>7</v>
      </c>
      <c r="H316" s="7">
        <v>1</v>
      </c>
      <c r="I316" s="7" t="s">
        <v>812</v>
      </c>
      <c r="J316" s="7" t="s">
        <v>803</v>
      </c>
    </row>
    <row r="317" spans="1:10" hidden="1" x14ac:dyDescent="0.35">
      <c r="A317" s="7">
        <f>ROW()-ROW(BARANGKELUAR!$A$3)</f>
        <v>314</v>
      </c>
      <c r="B317" s="7" t="s">
        <v>1583</v>
      </c>
      <c r="C317" s="31">
        <v>46036</v>
      </c>
      <c r="D317" s="7" t="s">
        <v>454</v>
      </c>
      <c r="E317" s="34" t="s">
        <v>455</v>
      </c>
      <c r="F317" s="7" t="s">
        <v>106</v>
      </c>
      <c r="G317" s="7" t="s">
        <v>7</v>
      </c>
      <c r="H317" s="7">
        <v>1</v>
      </c>
      <c r="I317" s="7" t="s">
        <v>812</v>
      </c>
      <c r="J317" s="7" t="s">
        <v>803</v>
      </c>
    </row>
    <row r="318" spans="1:10" hidden="1" x14ac:dyDescent="0.35">
      <c r="A318" s="7">
        <f>ROW()-ROW(BARANGKELUAR!$A$3)</f>
        <v>315</v>
      </c>
      <c r="B318" s="7" t="s">
        <v>1584</v>
      </c>
      <c r="C318" s="31">
        <v>46041</v>
      </c>
      <c r="D318" s="7" t="s">
        <v>25</v>
      </c>
      <c r="E318" s="34" t="s">
        <v>50</v>
      </c>
      <c r="F318" s="7" t="s">
        <v>27</v>
      </c>
      <c r="G318" s="7" t="s">
        <v>7</v>
      </c>
      <c r="H318" s="7">
        <v>3</v>
      </c>
      <c r="I318" s="7" t="s">
        <v>822</v>
      </c>
      <c r="J318" s="7" t="s">
        <v>818</v>
      </c>
    </row>
    <row r="319" spans="1:10" hidden="1" x14ac:dyDescent="0.35">
      <c r="A319" s="7">
        <f>ROW()-ROW(BARANGKELUAR!$A$3)</f>
        <v>316</v>
      </c>
      <c r="B319" s="7" t="s">
        <v>1585</v>
      </c>
      <c r="C319" s="31">
        <v>46041</v>
      </c>
      <c r="D319" s="7" t="s">
        <v>56</v>
      </c>
      <c r="E319" s="34" t="s">
        <v>57</v>
      </c>
      <c r="F319" s="7" t="s">
        <v>35</v>
      </c>
      <c r="G319" s="7" t="s">
        <v>7</v>
      </c>
      <c r="H319" s="7">
        <v>1</v>
      </c>
      <c r="I319" s="7" t="s">
        <v>822</v>
      </c>
      <c r="J319" s="7" t="s">
        <v>818</v>
      </c>
    </row>
    <row r="320" spans="1:10" hidden="1" x14ac:dyDescent="0.35">
      <c r="A320" s="7">
        <f>ROW()-ROW(BARANGKELUAR!$A$3)</f>
        <v>317</v>
      </c>
      <c r="B320" s="7" t="s">
        <v>1586</v>
      </c>
      <c r="C320" s="31">
        <v>46041</v>
      </c>
      <c r="D320" s="7" t="s">
        <v>54</v>
      </c>
      <c r="E320" s="34" t="s">
        <v>55</v>
      </c>
      <c r="F320" s="7" t="s">
        <v>35</v>
      </c>
      <c r="G320" s="7" t="s">
        <v>7</v>
      </c>
      <c r="H320" s="7">
        <v>1</v>
      </c>
      <c r="I320" s="7" t="s">
        <v>822</v>
      </c>
      <c r="J320" s="7" t="s">
        <v>818</v>
      </c>
    </row>
    <row r="321" spans="1:10" hidden="1" x14ac:dyDescent="0.35">
      <c r="A321" s="7">
        <f>ROW()-ROW(BARANGKELUAR!$A$3)</f>
        <v>318</v>
      </c>
      <c r="B321" s="7" t="s">
        <v>1587</v>
      </c>
      <c r="C321" s="31">
        <v>46041</v>
      </c>
      <c r="D321" s="7" t="s">
        <v>28</v>
      </c>
      <c r="E321" s="34" t="s">
        <v>51</v>
      </c>
      <c r="F321" s="7" t="s">
        <v>35</v>
      </c>
      <c r="G321" s="7" t="s">
        <v>7</v>
      </c>
      <c r="H321" s="7">
        <v>1</v>
      </c>
      <c r="I321" s="7" t="s">
        <v>822</v>
      </c>
      <c r="J321" s="7" t="s">
        <v>818</v>
      </c>
    </row>
    <row r="322" spans="1:10" hidden="1" x14ac:dyDescent="0.35">
      <c r="A322" s="7">
        <f>ROW()-ROW(BARANGKELUAR!$A$3)</f>
        <v>319</v>
      </c>
      <c r="B322" s="7" t="s">
        <v>1588</v>
      </c>
      <c r="C322" s="31">
        <v>46043</v>
      </c>
      <c r="D322" s="7" t="s">
        <v>25</v>
      </c>
      <c r="E322" s="34" t="s">
        <v>50</v>
      </c>
      <c r="F322" s="7" t="s">
        <v>27</v>
      </c>
      <c r="G322" s="7" t="s">
        <v>7</v>
      </c>
      <c r="H322" s="7">
        <v>1</v>
      </c>
      <c r="I322" s="7" t="s">
        <v>822</v>
      </c>
      <c r="J322" s="7" t="s">
        <v>818</v>
      </c>
    </row>
    <row r="323" spans="1:10" hidden="1" x14ac:dyDescent="0.35">
      <c r="A323" s="7">
        <f>ROW()-ROW(BARANGKELUAR!$A$3)</f>
        <v>320</v>
      </c>
      <c r="B323" s="7" t="s">
        <v>1589</v>
      </c>
      <c r="C323" s="31">
        <v>46043</v>
      </c>
      <c r="D323" s="7" t="s">
        <v>460</v>
      </c>
      <c r="E323" s="34" t="s">
        <v>463</v>
      </c>
      <c r="F323" s="7" t="s">
        <v>30</v>
      </c>
      <c r="G323" s="7" t="s">
        <v>7</v>
      </c>
      <c r="H323" s="7">
        <v>1</v>
      </c>
      <c r="I323" s="7" t="s">
        <v>817</v>
      </c>
      <c r="J323" s="7" t="s">
        <v>818</v>
      </c>
    </row>
    <row r="324" spans="1:10" hidden="1" x14ac:dyDescent="0.35">
      <c r="A324" s="7">
        <f>ROW()-ROW(BARANGKELUAR!$A$3)</f>
        <v>321</v>
      </c>
      <c r="B324" s="7" t="s">
        <v>1590</v>
      </c>
      <c r="C324" s="31">
        <v>46043</v>
      </c>
      <c r="D324" s="7" t="s">
        <v>25</v>
      </c>
      <c r="E324" s="34" t="s">
        <v>50</v>
      </c>
      <c r="F324" s="7" t="s">
        <v>27</v>
      </c>
      <c r="G324" s="7" t="s">
        <v>7</v>
      </c>
      <c r="H324" s="7">
        <v>1</v>
      </c>
      <c r="I324" s="7" t="s">
        <v>827</v>
      </c>
      <c r="J324" s="7" t="s">
        <v>828</v>
      </c>
    </row>
    <row r="325" spans="1:10" hidden="1" x14ac:dyDescent="0.35">
      <c r="A325" s="7">
        <f>ROW()-ROW(BARANGKELUAR!$A$3)</f>
        <v>322</v>
      </c>
      <c r="B325" s="7" t="s">
        <v>1591</v>
      </c>
      <c r="C325" s="31">
        <v>46048</v>
      </c>
      <c r="D325" s="7" t="s">
        <v>25</v>
      </c>
      <c r="E325" s="34" t="s">
        <v>50</v>
      </c>
      <c r="F325" s="7" t="s">
        <v>27</v>
      </c>
      <c r="G325" s="7" t="s">
        <v>7</v>
      </c>
      <c r="H325" s="7">
        <v>1</v>
      </c>
      <c r="I325" s="7" t="s">
        <v>891</v>
      </c>
      <c r="J325" s="7" t="s">
        <v>806</v>
      </c>
    </row>
    <row r="326" spans="1:10" hidden="1" x14ac:dyDescent="0.35">
      <c r="A326" s="7">
        <f>ROW()-ROW(BARANGKELUAR!$A$3)</f>
        <v>323</v>
      </c>
      <c r="B326" s="7" t="s">
        <v>1592</v>
      </c>
      <c r="C326" s="31">
        <v>46049</v>
      </c>
      <c r="D326" s="7" t="s">
        <v>25</v>
      </c>
      <c r="E326" s="34" t="s">
        <v>50</v>
      </c>
      <c r="F326" s="7" t="s">
        <v>27</v>
      </c>
      <c r="G326" s="7" t="s">
        <v>7</v>
      </c>
      <c r="H326" s="7">
        <v>1</v>
      </c>
      <c r="I326" s="7" t="s">
        <v>805</v>
      </c>
      <c r="J326" s="7" t="s">
        <v>806</v>
      </c>
    </row>
    <row r="327" spans="1:10" hidden="1" x14ac:dyDescent="0.35">
      <c r="A327" s="7">
        <f>ROW()-ROW(BARANGKELUAR!$A$3)</f>
        <v>324</v>
      </c>
      <c r="B327" s="7" t="s">
        <v>1593</v>
      </c>
      <c r="C327" s="31">
        <v>46049</v>
      </c>
      <c r="D327" s="7" t="s">
        <v>110</v>
      </c>
      <c r="E327" s="34" t="s">
        <v>111</v>
      </c>
      <c r="F327" s="7" t="s">
        <v>106</v>
      </c>
      <c r="G327" s="7" t="s">
        <v>7</v>
      </c>
      <c r="H327" s="7">
        <v>1</v>
      </c>
      <c r="I327" s="7" t="s">
        <v>799</v>
      </c>
      <c r="J327" s="7" t="s">
        <v>800</v>
      </c>
    </row>
    <row r="328" spans="1:10" hidden="1" x14ac:dyDescent="0.35">
      <c r="A328" s="7">
        <f>ROW()-ROW(BARANGKELUAR!$A$3)</f>
        <v>325</v>
      </c>
      <c r="B328" s="7" t="s">
        <v>1594</v>
      </c>
      <c r="C328" s="31">
        <v>46049</v>
      </c>
      <c r="D328" s="7" t="s">
        <v>861</v>
      </c>
      <c r="E328" s="34" t="s">
        <v>862</v>
      </c>
      <c r="F328" s="7" t="s">
        <v>562</v>
      </c>
      <c r="G328" s="7" t="s">
        <v>7</v>
      </c>
      <c r="H328" s="7">
        <v>1</v>
      </c>
      <c r="I328" s="7" t="s">
        <v>805</v>
      </c>
      <c r="J328" s="7" t="s">
        <v>806</v>
      </c>
    </row>
    <row r="329" spans="1:10" hidden="1" x14ac:dyDescent="0.35">
      <c r="A329" s="7">
        <f>ROW()-ROW(BARANGKELUAR!$A$3)</f>
        <v>326</v>
      </c>
      <c r="B329" s="7" t="s">
        <v>1595</v>
      </c>
      <c r="C329" s="31">
        <v>46051</v>
      </c>
      <c r="D329" s="7" t="s">
        <v>25</v>
      </c>
      <c r="E329" s="34" t="s">
        <v>50</v>
      </c>
      <c r="F329" s="7" t="s">
        <v>27</v>
      </c>
      <c r="G329" s="7" t="s">
        <v>7</v>
      </c>
      <c r="H329" s="7">
        <v>1</v>
      </c>
      <c r="I329" s="7" t="s">
        <v>820</v>
      </c>
      <c r="J329" s="7" t="s">
        <v>800</v>
      </c>
    </row>
    <row r="330" spans="1:10" hidden="1" x14ac:dyDescent="0.35">
      <c r="A330" s="7">
        <f>ROW()-ROW(BARANGKELUAR!$A$3)</f>
        <v>327</v>
      </c>
      <c r="B330" s="7" t="s">
        <v>1596</v>
      </c>
      <c r="C330" s="31">
        <v>46052</v>
      </c>
      <c r="D330" s="7" t="s">
        <v>92</v>
      </c>
      <c r="E330" s="34" t="s">
        <v>93</v>
      </c>
      <c r="F330" s="7" t="s">
        <v>106</v>
      </c>
      <c r="G330" s="7" t="s">
        <v>7</v>
      </c>
      <c r="H330" s="7">
        <v>1</v>
      </c>
      <c r="I330" s="7" t="s">
        <v>802</v>
      </c>
      <c r="J330" s="7" t="s">
        <v>803</v>
      </c>
    </row>
    <row r="331" spans="1:10" hidden="1" x14ac:dyDescent="0.35">
      <c r="A331" s="7">
        <f>ROW()-ROW(BARANGKELUAR!$A$3)</f>
        <v>328</v>
      </c>
      <c r="B331" s="7" t="s">
        <v>1597</v>
      </c>
      <c r="C331" s="31">
        <v>46052</v>
      </c>
      <c r="D331" s="7" t="s">
        <v>1338</v>
      </c>
      <c r="E331" s="34" t="s">
        <v>1339</v>
      </c>
      <c r="F331" s="7" t="s">
        <v>562</v>
      </c>
      <c r="G331" s="7" t="s">
        <v>7</v>
      </c>
      <c r="H331" s="7">
        <v>1</v>
      </c>
      <c r="I331" s="7" t="s">
        <v>802</v>
      </c>
      <c r="J331" s="7" t="s">
        <v>803</v>
      </c>
    </row>
    <row r="332" spans="1:10" hidden="1" x14ac:dyDescent="0.35">
      <c r="A332" s="7">
        <f>ROW()-ROW(BARANGKELUAR!$A$3)</f>
        <v>329</v>
      </c>
      <c r="B332" s="7" t="s">
        <v>1598</v>
      </c>
      <c r="C332" s="31">
        <v>46024</v>
      </c>
      <c r="D332" s="7" t="s">
        <v>549</v>
      </c>
      <c r="E332" s="34" t="s">
        <v>550</v>
      </c>
      <c r="F332" s="7" t="s">
        <v>30</v>
      </c>
      <c r="G332" s="7" t="s">
        <v>7</v>
      </c>
      <c r="H332" s="7">
        <v>1</v>
      </c>
      <c r="I332" s="7" t="s">
        <v>891</v>
      </c>
      <c r="J332" s="7" t="s">
        <v>806</v>
      </c>
    </row>
    <row r="333" spans="1:10" hidden="1" x14ac:dyDescent="0.35">
      <c r="A333" s="7">
        <f>ROW()-ROW(BARANGKELUAR!$A$3)</f>
        <v>330</v>
      </c>
      <c r="B333" s="7" t="s">
        <v>1599</v>
      </c>
      <c r="C333" s="31">
        <v>46024</v>
      </c>
      <c r="D333" s="7" t="s">
        <v>549</v>
      </c>
      <c r="E333" s="34" t="s">
        <v>550</v>
      </c>
      <c r="F333" s="7" t="s">
        <v>30</v>
      </c>
      <c r="G333" s="7" t="s">
        <v>7</v>
      </c>
      <c r="H333" s="7">
        <v>1</v>
      </c>
      <c r="I333" s="7" t="s">
        <v>820</v>
      </c>
      <c r="J333" s="7" t="s">
        <v>800</v>
      </c>
    </row>
    <row r="334" spans="1:10" hidden="1" x14ac:dyDescent="0.35">
      <c r="A334" s="7">
        <f>ROW()-ROW(BARANGKELUAR!$A$3)</f>
        <v>331</v>
      </c>
      <c r="B334" s="7" t="s">
        <v>1600</v>
      </c>
      <c r="C334" s="31">
        <v>46055</v>
      </c>
      <c r="D334" s="7" t="s">
        <v>25</v>
      </c>
      <c r="E334" s="34" t="s">
        <v>50</v>
      </c>
      <c r="F334" s="7" t="s">
        <v>27</v>
      </c>
      <c r="G334" s="7" t="s">
        <v>7</v>
      </c>
      <c r="H334" s="7">
        <v>1</v>
      </c>
      <c r="I334" s="7" t="s">
        <v>883</v>
      </c>
      <c r="J334" s="7" t="s">
        <v>806</v>
      </c>
    </row>
    <row r="335" spans="1:10" hidden="1" x14ac:dyDescent="0.35">
      <c r="A335" s="7">
        <f>ROW()-ROW(BARANGKELUAR!$A$3)</f>
        <v>332</v>
      </c>
      <c r="B335" s="7" t="s">
        <v>1601</v>
      </c>
      <c r="C335" s="31">
        <v>46055</v>
      </c>
      <c r="D335" s="7" t="s">
        <v>614</v>
      </c>
      <c r="E335" s="34" t="s">
        <v>615</v>
      </c>
      <c r="F335" s="7" t="s">
        <v>30</v>
      </c>
      <c r="G335" s="7" t="s">
        <v>7</v>
      </c>
      <c r="H335" s="7">
        <v>1</v>
      </c>
      <c r="I335" s="7" t="s">
        <v>817</v>
      </c>
      <c r="J335" s="7" t="s">
        <v>818</v>
      </c>
    </row>
    <row r="336" spans="1:10" hidden="1" x14ac:dyDescent="0.35">
      <c r="A336" s="7">
        <f>ROW()-ROW(BARANGKELUAR!$A$3)</f>
        <v>333</v>
      </c>
      <c r="B336" s="7" t="s">
        <v>1602</v>
      </c>
      <c r="C336" s="31">
        <v>46057</v>
      </c>
      <c r="D336" s="7" t="s">
        <v>25</v>
      </c>
      <c r="E336" s="34" t="s">
        <v>50</v>
      </c>
      <c r="F336" s="7" t="s">
        <v>27</v>
      </c>
      <c r="G336" s="7" t="s">
        <v>7</v>
      </c>
      <c r="H336" s="7">
        <v>3</v>
      </c>
      <c r="I336" s="7" t="s">
        <v>822</v>
      </c>
      <c r="J336" s="7" t="s">
        <v>818</v>
      </c>
    </row>
    <row r="337" spans="1:10" hidden="1" x14ac:dyDescent="0.35">
      <c r="A337" s="7">
        <f>ROW()-ROW(BARANGKELUAR!$A$3)</f>
        <v>334</v>
      </c>
      <c r="B337" s="7" t="s">
        <v>1603</v>
      </c>
      <c r="C337" s="31">
        <v>46058</v>
      </c>
      <c r="D337" s="7" t="s">
        <v>54</v>
      </c>
      <c r="E337" s="34" t="s">
        <v>55</v>
      </c>
      <c r="F337" s="7" t="s">
        <v>35</v>
      </c>
      <c r="G337" s="7" t="s">
        <v>7</v>
      </c>
      <c r="H337" s="7">
        <v>1</v>
      </c>
      <c r="I337" s="7" t="s">
        <v>822</v>
      </c>
      <c r="J337" s="7" t="s">
        <v>818</v>
      </c>
    </row>
    <row r="338" spans="1:10" hidden="1" x14ac:dyDescent="0.35">
      <c r="A338" s="7">
        <f>ROW()-ROW(BARANGKELUAR!$A$3)</f>
        <v>335</v>
      </c>
      <c r="B338" s="7" t="s">
        <v>1604</v>
      </c>
      <c r="C338" s="31">
        <v>46062</v>
      </c>
      <c r="D338" s="7" t="s">
        <v>1338</v>
      </c>
      <c r="E338" s="34" t="s">
        <v>1339</v>
      </c>
      <c r="F338" s="7" t="s">
        <v>562</v>
      </c>
      <c r="G338" s="7" t="s">
        <v>7</v>
      </c>
      <c r="H338" s="7">
        <v>1</v>
      </c>
      <c r="I338" s="7" t="s">
        <v>799</v>
      </c>
      <c r="J338" s="7" t="s">
        <v>800</v>
      </c>
    </row>
    <row r="339" spans="1:10" hidden="1" x14ac:dyDescent="0.35">
      <c r="A339" s="7">
        <f>ROW()-ROW(BARANGKELUAR!$A$3)</f>
        <v>336</v>
      </c>
      <c r="B339" s="7" t="s">
        <v>1605</v>
      </c>
      <c r="C339" s="31">
        <v>46062</v>
      </c>
      <c r="D339" s="7" t="s">
        <v>25</v>
      </c>
      <c r="E339" s="34" t="s">
        <v>50</v>
      </c>
      <c r="F339" s="7" t="s">
        <v>27</v>
      </c>
      <c r="G339" s="7" t="s">
        <v>7</v>
      </c>
      <c r="H339" s="7">
        <v>1</v>
      </c>
      <c r="I339" s="7" t="s">
        <v>820</v>
      </c>
      <c r="J339" s="7" t="s">
        <v>800</v>
      </c>
    </row>
    <row r="340" spans="1:10" hidden="1" x14ac:dyDescent="0.35">
      <c r="A340" s="7">
        <f>ROW()-ROW(BARANGKELUAR!$A$3)</f>
        <v>337</v>
      </c>
      <c r="B340" s="7" t="s">
        <v>1606</v>
      </c>
      <c r="C340" s="31">
        <v>46063</v>
      </c>
      <c r="D340" s="7" t="s">
        <v>25</v>
      </c>
      <c r="E340" s="34" t="s">
        <v>50</v>
      </c>
      <c r="F340" s="7" t="s">
        <v>27</v>
      </c>
      <c r="G340" s="7" t="s">
        <v>7</v>
      </c>
      <c r="H340" s="7">
        <v>1</v>
      </c>
      <c r="I340" s="7" t="s">
        <v>834</v>
      </c>
      <c r="J340" s="7" t="s">
        <v>835</v>
      </c>
    </row>
    <row r="341" spans="1:10" hidden="1" x14ac:dyDescent="0.35">
      <c r="A341" s="7">
        <f>ROW()-ROW(BARANGKELUAR!$A$3)</f>
        <v>338</v>
      </c>
      <c r="B341" s="7" t="s">
        <v>1607</v>
      </c>
      <c r="C341" s="31">
        <v>46063</v>
      </c>
      <c r="D341" s="7" t="s">
        <v>643</v>
      </c>
      <c r="E341" s="34" t="s">
        <v>644</v>
      </c>
      <c r="F341" s="7" t="s">
        <v>562</v>
      </c>
      <c r="G341" s="7" t="s">
        <v>7</v>
      </c>
      <c r="H341" s="7">
        <v>1</v>
      </c>
      <c r="I341" s="7" t="s">
        <v>812</v>
      </c>
      <c r="J341" s="7" t="s">
        <v>803</v>
      </c>
    </row>
    <row r="342" spans="1:10" hidden="1" x14ac:dyDescent="0.35">
      <c r="A342" s="7">
        <f>ROW()-ROW(BARANGKELUAR!$A$3)</f>
        <v>339</v>
      </c>
      <c r="B342" s="7" t="s">
        <v>1608</v>
      </c>
      <c r="C342" s="31">
        <v>46063</v>
      </c>
      <c r="D342" s="7" t="s">
        <v>1334</v>
      </c>
      <c r="E342" s="34" t="s">
        <v>1335</v>
      </c>
      <c r="F342" s="7" t="s">
        <v>562</v>
      </c>
      <c r="G342" s="7" t="s">
        <v>7</v>
      </c>
      <c r="H342" s="7">
        <v>1</v>
      </c>
      <c r="I342" s="7" t="s">
        <v>805</v>
      </c>
      <c r="J342" s="7" t="s">
        <v>806</v>
      </c>
    </row>
    <row r="343" spans="1:10" hidden="1" x14ac:dyDescent="0.35">
      <c r="A343" s="7">
        <f>ROW()-ROW(BARANGKELUAR!$A$3)</f>
        <v>340</v>
      </c>
      <c r="B343" s="7" t="s">
        <v>1609</v>
      </c>
      <c r="C343" s="31">
        <v>46063</v>
      </c>
      <c r="D343" s="7" t="s">
        <v>1338</v>
      </c>
      <c r="E343" s="34" t="s">
        <v>1339</v>
      </c>
      <c r="F343" s="7" t="s">
        <v>562</v>
      </c>
      <c r="G343" s="7" t="s">
        <v>7</v>
      </c>
      <c r="H343" s="7">
        <v>1</v>
      </c>
      <c r="I343" s="7" t="s">
        <v>805</v>
      </c>
      <c r="J343" s="7" t="s">
        <v>806</v>
      </c>
    </row>
    <row r="344" spans="1:10" hidden="1" x14ac:dyDescent="0.35">
      <c r="A344" s="7">
        <f>ROW()-ROW(BARANGKELUAR!$A$3)</f>
        <v>341</v>
      </c>
      <c r="B344" s="7" t="s">
        <v>1610</v>
      </c>
      <c r="C344" s="31">
        <v>46063</v>
      </c>
      <c r="D344" s="7" t="s">
        <v>1340</v>
      </c>
      <c r="E344" s="34" t="s">
        <v>1341</v>
      </c>
      <c r="F344" s="7" t="s">
        <v>562</v>
      </c>
      <c r="G344" s="7" t="s">
        <v>7</v>
      </c>
      <c r="H344" s="7">
        <v>1</v>
      </c>
      <c r="I344" s="7" t="s">
        <v>805</v>
      </c>
      <c r="J344" s="7" t="s">
        <v>806</v>
      </c>
    </row>
    <row r="345" spans="1:10" hidden="1" x14ac:dyDescent="0.35">
      <c r="A345" s="7">
        <f>ROW()-ROW(BARANGKELUAR!$A$3)</f>
        <v>342</v>
      </c>
      <c r="B345" s="7" t="s">
        <v>1611</v>
      </c>
      <c r="C345" s="31">
        <v>46064</v>
      </c>
      <c r="D345" s="7" t="s">
        <v>1322</v>
      </c>
      <c r="E345" s="34" t="s">
        <v>1323</v>
      </c>
      <c r="F345" s="7" t="s">
        <v>562</v>
      </c>
      <c r="G345" s="7" t="s">
        <v>7</v>
      </c>
      <c r="H345" s="7">
        <v>1</v>
      </c>
      <c r="I345" s="7" t="s">
        <v>1146</v>
      </c>
      <c r="J345" s="7" t="s">
        <v>1147</v>
      </c>
    </row>
    <row r="346" spans="1:10" hidden="1" x14ac:dyDescent="0.35">
      <c r="A346" s="7">
        <f>ROW()-ROW(BARANGKELUAR!$A$3)</f>
        <v>343</v>
      </c>
      <c r="B346" s="7" t="s">
        <v>1612</v>
      </c>
      <c r="C346" s="31">
        <v>46065</v>
      </c>
      <c r="D346" s="7" t="s">
        <v>1336</v>
      </c>
      <c r="E346" s="34" t="s">
        <v>1337</v>
      </c>
      <c r="F346" s="7" t="s">
        <v>562</v>
      </c>
      <c r="G346" s="7" t="s">
        <v>7</v>
      </c>
      <c r="H346" s="7">
        <v>1</v>
      </c>
      <c r="I346" s="7" t="s">
        <v>820</v>
      </c>
      <c r="J346" s="7" t="s">
        <v>800</v>
      </c>
    </row>
    <row r="347" spans="1:10" hidden="1" x14ac:dyDescent="0.35">
      <c r="A347" s="7">
        <f>ROW()-ROW(BARANGKELUAR!$A$3)</f>
        <v>344</v>
      </c>
      <c r="B347" s="7" t="s">
        <v>1613</v>
      </c>
      <c r="C347" s="31">
        <v>46066</v>
      </c>
      <c r="D347" s="7" t="s">
        <v>28</v>
      </c>
      <c r="E347" s="34" t="s">
        <v>51</v>
      </c>
      <c r="F347" s="7" t="s">
        <v>35</v>
      </c>
      <c r="G347" s="7" t="s">
        <v>7</v>
      </c>
      <c r="H347" s="7">
        <v>1</v>
      </c>
      <c r="I347" s="7" t="s">
        <v>888</v>
      </c>
      <c r="J347" s="7" t="s">
        <v>800</v>
      </c>
    </row>
    <row r="348" spans="1:10" hidden="1" x14ac:dyDescent="0.35">
      <c r="A348" s="7">
        <f>ROW()-ROW(BARANGKELUAR!$A$3)</f>
        <v>345</v>
      </c>
      <c r="B348" s="7" t="s">
        <v>1614</v>
      </c>
      <c r="C348" s="31">
        <v>46066</v>
      </c>
      <c r="D348" s="7" t="s">
        <v>52</v>
      </c>
      <c r="E348" s="34" t="s">
        <v>53</v>
      </c>
      <c r="F348" s="7" t="s">
        <v>35</v>
      </c>
      <c r="G348" s="7" t="s">
        <v>7</v>
      </c>
      <c r="H348" s="7">
        <v>1</v>
      </c>
      <c r="I348" s="7" t="s">
        <v>888</v>
      </c>
      <c r="J348" s="7" t="s">
        <v>800</v>
      </c>
    </row>
    <row r="349" spans="1:10" hidden="1" x14ac:dyDescent="0.35">
      <c r="A349" s="7">
        <f>ROW()-ROW(BARANGKELUAR!$A$3)</f>
        <v>346</v>
      </c>
      <c r="B349" s="7" t="s">
        <v>1615</v>
      </c>
      <c r="C349" s="31">
        <v>46066</v>
      </c>
      <c r="D349" s="7" t="s">
        <v>54</v>
      </c>
      <c r="E349" s="34" t="s">
        <v>55</v>
      </c>
      <c r="F349" s="7" t="s">
        <v>35</v>
      </c>
      <c r="G349" s="7" t="s">
        <v>7</v>
      </c>
      <c r="H349" s="7">
        <v>1</v>
      </c>
      <c r="I349" s="7" t="s">
        <v>888</v>
      </c>
      <c r="J349" s="7" t="s">
        <v>800</v>
      </c>
    </row>
    <row r="350" spans="1:10" hidden="1" x14ac:dyDescent="0.35">
      <c r="A350" s="7">
        <f>ROW()-ROW(BARANGKELUAR!$A$3)</f>
        <v>347</v>
      </c>
      <c r="B350" s="7" t="s">
        <v>1616</v>
      </c>
      <c r="C350" s="31">
        <v>46066</v>
      </c>
      <c r="D350" s="7" t="s">
        <v>56</v>
      </c>
      <c r="E350" s="34" t="s">
        <v>57</v>
      </c>
      <c r="F350" s="7" t="s">
        <v>35</v>
      </c>
      <c r="G350" s="7" t="s">
        <v>7</v>
      </c>
      <c r="H350" s="7">
        <v>1</v>
      </c>
      <c r="I350" s="7" t="s">
        <v>888</v>
      </c>
      <c r="J350" s="7" t="s">
        <v>800</v>
      </c>
    </row>
    <row r="351" spans="1:10" hidden="1" x14ac:dyDescent="0.35">
      <c r="A351" s="7">
        <f>ROW()-ROW(BARANGKELUAR!$A$3)</f>
        <v>348</v>
      </c>
      <c r="B351" s="7" t="s">
        <v>1617</v>
      </c>
      <c r="C351" s="31">
        <v>46071</v>
      </c>
      <c r="D351" s="7" t="s">
        <v>25</v>
      </c>
      <c r="E351" s="34" t="s">
        <v>50</v>
      </c>
      <c r="F351" s="7" t="s">
        <v>27</v>
      </c>
      <c r="G351" s="7" t="s">
        <v>7</v>
      </c>
      <c r="H351" s="7">
        <v>1</v>
      </c>
      <c r="I351" s="7" t="s">
        <v>799</v>
      </c>
      <c r="J351" s="7" t="s">
        <v>800</v>
      </c>
    </row>
    <row r="352" spans="1:10" hidden="1" x14ac:dyDescent="0.35">
      <c r="A352" s="7">
        <f>ROW()-ROW(BARANGKELUAR!$A$3)</f>
        <v>349</v>
      </c>
      <c r="B352" s="7" t="s">
        <v>1618</v>
      </c>
      <c r="C352" s="31">
        <v>46073</v>
      </c>
      <c r="D352" s="7" t="s">
        <v>965</v>
      </c>
      <c r="E352" s="34" t="s">
        <v>966</v>
      </c>
      <c r="F352" s="7" t="s">
        <v>30</v>
      </c>
      <c r="G352" s="7" t="s">
        <v>7</v>
      </c>
      <c r="H352" s="7">
        <v>1</v>
      </c>
      <c r="I352" s="7" t="s">
        <v>834</v>
      </c>
      <c r="J352" s="7" t="s">
        <v>835</v>
      </c>
    </row>
    <row r="353" spans="1:10" hidden="1" x14ac:dyDescent="0.35">
      <c r="A353" s="7">
        <f>ROW()-ROW(BARANGKELUAR!$A$3)</f>
        <v>350</v>
      </c>
      <c r="B353" s="7" t="s">
        <v>1619</v>
      </c>
      <c r="C353" s="31">
        <v>46075</v>
      </c>
      <c r="D353" s="7" t="s">
        <v>1322</v>
      </c>
      <c r="E353" s="34" t="s">
        <v>1323</v>
      </c>
      <c r="F353" s="7" t="s">
        <v>562</v>
      </c>
      <c r="G353" s="7" t="s">
        <v>7</v>
      </c>
      <c r="H353" s="7">
        <v>2</v>
      </c>
      <c r="I353" s="7" t="s">
        <v>1146</v>
      </c>
      <c r="J353" s="7" t="s">
        <v>1147</v>
      </c>
    </row>
    <row r="354" spans="1:10" hidden="1" x14ac:dyDescent="0.35">
      <c r="A354" s="7">
        <f>ROW()-ROW(BARANGKELUAR!$A$3)</f>
        <v>351</v>
      </c>
      <c r="B354" s="7" t="s">
        <v>1620</v>
      </c>
      <c r="C354" s="31">
        <v>46077</v>
      </c>
      <c r="D354" s="7" t="s">
        <v>25</v>
      </c>
      <c r="E354" s="34" t="s">
        <v>50</v>
      </c>
      <c r="F354" s="7" t="s">
        <v>27</v>
      </c>
      <c r="G354" s="7" t="s">
        <v>7</v>
      </c>
      <c r="H354" s="7">
        <v>1</v>
      </c>
      <c r="I354" s="7" t="s">
        <v>827</v>
      </c>
      <c r="J354" s="7" t="s">
        <v>828</v>
      </c>
    </row>
    <row r="355" spans="1:10" hidden="1" x14ac:dyDescent="0.35">
      <c r="A355" s="7">
        <f>ROW()-ROW(BARANGKELUAR!$A$3)</f>
        <v>352</v>
      </c>
      <c r="B355" s="7" t="s">
        <v>1621</v>
      </c>
      <c r="C355" s="31">
        <v>46077</v>
      </c>
      <c r="D355" s="7" t="s">
        <v>25</v>
      </c>
      <c r="E355" s="34" t="s">
        <v>50</v>
      </c>
      <c r="F355" s="7" t="s">
        <v>27</v>
      </c>
      <c r="G355" s="7" t="s">
        <v>7</v>
      </c>
      <c r="H355" s="7">
        <v>1</v>
      </c>
      <c r="I355" s="7" t="s">
        <v>802</v>
      </c>
      <c r="J355" s="7" t="s">
        <v>803</v>
      </c>
    </row>
    <row r="356" spans="1:10" hidden="1" x14ac:dyDescent="0.35">
      <c r="A356" s="7">
        <f>ROW()-ROW(BARANGKELUAR!$A$3)</f>
        <v>353</v>
      </c>
      <c r="B356" s="7" t="s">
        <v>1622</v>
      </c>
      <c r="C356" s="31">
        <v>46079</v>
      </c>
      <c r="D356" s="7" t="s">
        <v>56</v>
      </c>
      <c r="E356" s="34" t="s">
        <v>57</v>
      </c>
      <c r="F356" s="7" t="s">
        <v>35</v>
      </c>
      <c r="G356" s="7" t="s">
        <v>7</v>
      </c>
      <c r="H356" s="7">
        <v>1</v>
      </c>
      <c r="I356" s="7" t="s">
        <v>834</v>
      </c>
      <c r="J356" s="7" t="s">
        <v>835</v>
      </c>
    </row>
    <row r="357" spans="1:10" hidden="1" x14ac:dyDescent="0.35">
      <c r="A357" s="7">
        <f>ROW()-ROW(BARANGKELUAR!$A$3)</f>
        <v>354</v>
      </c>
      <c r="B357" s="7" t="s">
        <v>1623</v>
      </c>
      <c r="C357" s="31">
        <v>46080</v>
      </c>
      <c r="D357" s="7" t="s">
        <v>743</v>
      </c>
      <c r="E357" s="34" t="s">
        <v>744</v>
      </c>
      <c r="F357" s="7" t="s">
        <v>304</v>
      </c>
      <c r="G357" s="7" t="s">
        <v>7</v>
      </c>
      <c r="H357" s="7">
        <v>1</v>
      </c>
      <c r="I357" s="7" t="s">
        <v>817</v>
      </c>
      <c r="J357" s="7" t="s">
        <v>818</v>
      </c>
    </row>
    <row r="358" spans="1:10" hidden="1" x14ac:dyDescent="0.35">
      <c r="A358" s="7">
        <f>ROW()-ROW(BARANGKELUAR!$A$3)</f>
        <v>355</v>
      </c>
      <c r="B358" s="7" t="s">
        <v>1624</v>
      </c>
      <c r="C358" s="31">
        <v>46080</v>
      </c>
      <c r="D358" s="7" t="s">
        <v>1567</v>
      </c>
      <c r="E358" s="34" t="s">
        <v>1568</v>
      </c>
      <c r="F358" s="7" t="s">
        <v>30</v>
      </c>
      <c r="G358" s="7" t="s">
        <v>7</v>
      </c>
      <c r="H358" s="7">
        <v>13</v>
      </c>
      <c r="I358" s="7" t="s">
        <v>822</v>
      </c>
      <c r="J358" s="7" t="s">
        <v>818</v>
      </c>
    </row>
    <row r="359" spans="1:10" hidden="1" x14ac:dyDescent="0.35">
      <c r="A359" s="7">
        <f>ROW()-ROW(BARANGKELUAR!$A$3)</f>
        <v>356</v>
      </c>
      <c r="B359" s="7" t="s">
        <v>1625</v>
      </c>
      <c r="C359" s="31">
        <v>46080</v>
      </c>
      <c r="D359" s="7" t="s">
        <v>1569</v>
      </c>
      <c r="E359" s="34" t="s">
        <v>1570</v>
      </c>
      <c r="F359" s="7" t="s">
        <v>30</v>
      </c>
      <c r="G359" s="7" t="s">
        <v>7</v>
      </c>
      <c r="H359" s="7">
        <v>13</v>
      </c>
      <c r="I359" s="7" t="s">
        <v>822</v>
      </c>
      <c r="J359" s="7" t="s">
        <v>818</v>
      </c>
    </row>
    <row r="360" spans="1:10" hidden="1" x14ac:dyDescent="0.35">
      <c r="A360" s="7">
        <f>ROW()-ROW(BARANGKELUAR!$A$3)</f>
        <v>357</v>
      </c>
      <c r="B360" s="7" t="s">
        <v>1626</v>
      </c>
      <c r="C360" s="31">
        <v>46083</v>
      </c>
      <c r="D360" s="7" t="s">
        <v>1112</v>
      </c>
      <c r="E360" s="34" t="s">
        <v>1113</v>
      </c>
      <c r="F360" s="7" t="s">
        <v>30</v>
      </c>
      <c r="G360" s="7" t="s">
        <v>7</v>
      </c>
      <c r="H360" s="7">
        <v>1</v>
      </c>
      <c r="I360" s="7" t="s">
        <v>1628</v>
      </c>
      <c r="J360" s="7" t="s">
        <v>835</v>
      </c>
    </row>
    <row r="361" spans="1:10" hidden="1" x14ac:dyDescent="0.35">
      <c r="A361" s="7">
        <f>ROW()-ROW(BARANGKELUAR!$A$3)</f>
        <v>358</v>
      </c>
      <c r="B361" s="7" t="s">
        <v>1629</v>
      </c>
      <c r="C361" s="31">
        <v>46084</v>
      </c>
      <c r="D361" s="7" t="s">
        <v>1427</v>
      </c>
      <c r="E361" s="34" t="s">
        <v>1428</v>
      </c>
      <c r="F361" s="7" t="s">
        <v>30</v>
      </c>
      <c r="G361" s="7" t="s">
        <v>7</v>
      </c>
      <c r="H361" s="7">
        <v>1</v>
      </c>
      <c r="I361" s="7" t="s">
        <v>891</v>
      </c>
      <c r="J361" s="7" t="s">
        <v>806</v>
      </c>
    </row>
    <row r="362" spans="1:10" hidden="1" x14ac:dyDescent="0.35">
      <c r="A362" s="7">
        <f>ROW()-ROW(BARANGKELUAR!$A$3)</f>
        <v>359</v>
      </c>
      <c r="B362" s="7" t="s">
        <v>1630</v>
      </c>
      <c r="C362" s="31">
        <v>46085</v>
      </c>
      <c r="D362" s="7" t="s">
        <v>83</v>
      </c>
      <c r="E362" s="34" t="s">
        <v>84</v>
      </c>
      <c r="F362" s="7" t="s">
        <v>41</v>
      </c>
      <c r="G362" s="7" t="s">
        <v>7</v>
      </c>
      <c r="H362" s="7">
        <v>1</v>
      </c>
      <c r="I362" s="7" t="s">
        <v>805</v>
      </c>
      <c r="J362" s="7" t="s">
        <v>806</v>
      </c>
    </row>
    <row r="363" spans="1:10" hidden="1" x14ac:dyDescent="0.35">
      <c r="A363" s="7">
        <f>ROW()-ROW(BARANGKELUAR!$A$3)</f>
        <v>360</v>
      </c>
      <c r="B363" s="7" t="s">
        <v>1644</v>
      </c>
      <c r="C363" s="31">
        <v>46085</v>
      </c>
      <c r="D363" s="7" t="s">
        <v>25</v>
      </c>
      <c r="E363" s="34" t="s">
        <v>50</v>
      </c>
      <c r="F363" s="7" t="s">
        <v>27</v>
      </c>
      <c r="G363" s="7" t="s">
        <v>7</v>
      </c>
      <c r="H363" s="7">
        <v>1</v>
      </c>
      <c r="I363" s="7" t="s">
        <v>900</v>
      </c>
      <c r="J363" s="7" t="s">
        <v>800</v>
      </c>
    </row>
    <row r="364" spans="1:10" hidden="1" x14ac:dyDescent="0.35">
      <c r="A364" s="7">
        <f>ROW()-ROW(BARANGKELUAR!$A$3)</f>
        <v>361</v>
      </c>
      <c r="B364" s="7" t="s">
        <v>1645</v>
      </c>
      <c r="C364" s="31">
        <v>46086</v>
      </c>
      <c r="D364" s="7" t="s">
        <v>861</v>
      </c>
      <c r="E364" s="34" t="s">
        <v>862</v>
      </c>
      <c r="F364" s="7" t="s">
        <v>562</v>
      </c>
      <c r="G364" s="7" t="s">
        <v>7</v>
      </c>
      <c r="H364" s="7">
        <v>1</v>
      </c>
      <c r="I364" s="7" t="s">
        <v>834</v>
      </c>
      <c r="J364" s="7" t="s">
        <v>835</v>
      </c>
    </row>
    <row r="365" spans="1:10" hidden="1" x14ac:dyDescent="0.35">
      <c r="A365" s="7">
        <f>ROW()-ROW(BARANGKELUAR!$A$3)</f>
        <v>362</v>
      </c>
      <c r="B365" s="7" t="s">
        <v>1646</v>
      </c>
      <c r="C365" s="31">
        <v>46090</v>
      </c>
      <c r="D365" s="7" t="s">
        <v>25</v>
      </c>
      <c r="E365" s="34" t="s">
        <v>50</v>
      </c>
      <c r="F365" s="7" t="s">
        <v>27</v>
      </c>
      <c r="G365" s="7" t="s">
        <v>7</v>
      </c>
      <c r="H365" s="7">
        <v>1</v>
      </c>
      <c r="I365" s="7" t="s">
        <v>822</v>
      </c>
      <c r="J365" s="7" t="s">
        <v>818</v>
      </c>
    </row>
    <row r="366" spans="1:10" hidden="1" x14ac:dyDescent="0.35">
      <c r="A366" s="7">
        <f>ROW()-ROW(BARANGKELUAR!$A$3)</f>
        <v>363</v>
      </c>
      <c r="B366" s="7" t="s">
        <v>1647</v>
      </c>
      <c r="C366" s="31">
        <v>46090</v>
      </c>
      <c r="D366" s="7" t="s">
        <v>341</v>
      </c>
      <c r="E366" s="34" t="s">
        <v>1315</v>
      </c>
      <c r="F366" s="7" t="s">
        <v>30</v>
      </c>
      <c r="G366" s="7" t="s">
        <v>7</v>
      </c>
      <c r="H366" s="7">
        <v>1</v>
      </c>
      <c r="I366" s="7" t="s">
        <v>1628</v>
      </c>
      <c r="J366" s="7" t="s">
        <v>835</v>
      </c>
    </row>
    <row r="367" spans="1:10" hidden="1" x14ac:dyDescent="0.35">
      <c r="A367" s="7">
        <f>ROW()-ROW(BARANGKELUAR!$A$3)</f>
        <v>364</v>
      </c>
      <c r="B367" s="7" t="s">
        <v>1648</v>
      </c>
      <c r="C367" s="31">
        <v>46090</v>
      </c>
      <c r="D367" s="7" t="s">
        <v>28</v>
      </c>
      <c r="E367" s="34" t="s">
        <v>51</v>
      </c>
      <c r="F367" s="7" t="s">
        <v>35</v>
      </c>
      <c r="G367" s="7" t="s">
        <v>7</v>
      </c>
      <c r="H367" s="7">
        <v>1</v>
      </c>
      <c r="I367" s="7" t="s">
        <v>822</v>
      </c>
      <c r="J367" s="7" t="s">
        <v>818</v>
      </c>
    </row>
    <row r="368" spans="1:10" hidden="1" x14ac:dyDescent="0.35">
      <c r="A368" s="7">
        <f>ROW()-ROW(BARANGKELUAR!$A$3)</f>
        <v>365</v>
      </c>
      <c r="B368" s="7" t="s">
        <v>1649</v>
      </c>
      <c r="C368" s="31">
        <v>46091</v>
      </c>
      <c r="D368" s="7" t="s">
        <v>1338</v>
      </c>
      <c r="E368" s="34" t="s">
        <v>1339</v>
      </c>
      <c r="F368" s="7" t="s">
        <v>562</v>
      </c>
      <c r="G368" s="7" t="s">
        <v>7</v>
      </c>
      <c r="H368" s="7">
        <v>1</v>
      </c>
      <c r="I368" s="7" t="s">
        <v>834</v>
      </c>
      <c r="J368" s="7" t="s">
        <v>835</v>
      </c>
    </row>
    <row r="369" spans="1:10" hidden="1" x14ac:dyDescent="0.35">
      <c r="A369" s="7">
        <f>ROW()-ROW(BARANGKELUAR!$A$3)</f>
        <v>366</v>
      </c>
      <c r="B369" s="7" t="s">
        <v>1650</v>
      </c>
      <c r="C369" s="31">
        <v>46111</v>
      </c>
      <c r="D369" s="7" t="s">
        <v>25</v>
      </c>
      <c r="E369" s="34" t="s">
        <v>50</v>
      </c>
      <c r="F369" s="7" t="s">
        <v>27</v>
      </c>
      <c r="G369" s="7" t="s">
        <v>7</v>
      </c>
      <c r="H369" s="7">
        <v>1</v>
      </c>
      <c r="I369" s="7" t="s">
        <v>820</v>
      </c>
      <c r="J369" s="7" t="s">
        <v>800</v>
      </c>
    </row>
    <row r="370" spans="1:10" hidden="1" x14ac:dyDescent="0.35">
      <c r="A370" s="7">
        <f>ROW()-ROW(BARANGKELUAR!$A$3)</f>
        <v>367</v>
      </c>
      <c r="B370" s="7" t="s">
        <v>1651</v>
      </c>
      <c r="C370" s="31">
        <v>46111</v>
      </c>
      <c r="D370" s="7" t="s">
        <v>25</v>
      </c>
      <c r="E370" s="34" t="s">
        <v>50</v>
      </c>
      <c r="F370" s="7" t="s">
        <v>27</v>
      </c>
      <c r="G370" s="7" t="s">
        <v>7</v>
      </c>
      <c r="H370" s="7">
        <v>1</v>
      </c>
      <c r="I370" s="7" t="s">
        <v>809</v>
      </c>
      <c r="J370" s="7" t="s">
        <v>835</v>
      </c>
    </row>
    <row r="371" spans="1:10" hidden="1" x14ac:dyDescent="0.35">
      <c r="A371" s="7">
        <f>ROW()-ROW(BARANGKELUAR!$A$3)</f>
        <v>368</v>
      </c>
      <c r="B371" s="7" t="s">
        <v>1652</v>
      </c>
      <c r="C371" s="31">
        <v>46113</v>
      </c>
      <c r="D371" s="7" t="s">
        <v>92</v>
      </c>
      <c r="E371" s="34" t="s">
        <v>93</v>
      </c>
      <c r="F371" s="7" t="s">
        <v>106</v>
      </c>
      <c r="G371" s="7" t="s">
        <v>7</v>
      </c>
      <c r="H371" s="7">
        <v>1</v>
      </c>
      <c r="I371" s="7" t="s">
        <v>812</v>
      </c>
      <c r="J371" s="7" t="s">
        <v>803</v>
      </c>
    </row>
    <row r="372" spans="1:10" hidden="1" x14ac:dyDescent="0.35">
      <c r="A372" s="7">
        <f>ROW()-ROW(BARANGKELUAR!$A$3)</f>
        <v>369</v>
      </c>
      <c r="B372" s="7" t="s">
        <v>1653</v>
      </c>
      <c r="C372" s="31">
        <v>46114</v>
      </c>
      <c r="D372" s="7" t="s">
        <v>1641</v>
      </c>
      <c r="E372" s="34" t="s">
        <v>1642</v>
      </c>
      <c r="F372" s="7" t="s">
        <v>30</v>
      </c>
      <c r="G372" s="7" t="s">
        <v>7</v>
      </c>
      <c r="H372" s="7">
        <v>1</v>
      </c>
      <c r="I372" s="7" t="s">
        <v>837</v>
      </c>
      <c r="J372" s="7" t="s">
        <v>828</v>
      </c>
    </row>
    <row r="373" spans="1:10" hidden="1" x14ac:dyDescent="0.35">
      <c r="A373" s="7">
        <f>ROW()-ROW(BARANGKELUAR!$A$3)</f>
        <v>370</v>
      </c>
      <c r="B373" s="7" t="s">
        <v>1654</v>
      </c>
      <c r="C373" s="31">
        <v>46114</v>
      </c>
      <c r="D373" s="7" t="s">
        <v>25</v>
      </c>
      <c r="E373" s="34" t="s">
        <v>50</v>
      </c>
      <c r="F373" s="7" t="s">
        <v>27</v>
      </c>
      <c r="G373" s="7" t="s">
        <v>7</v>
      </c>
      <c r="H373" s="7">
        <v>1</v>
      </c>
      <c r="I373" s="7" t="s">
        <v>820</v>
      </c>
      <c r="J373" s="7" t="s">
        <v>800</v>
      </c>
    </row>
    <row r="374" spans="1:10" hidden="1" x14ac:dyDescent="0.35">
      <c r="A374" s="7">
        <f>ROW()-ROW(BARANGKELUAR!$A$3)</f>
        <v>371</v>
      </c>
      <c r="B374" s="7" t="s">
        <v>1655</v>
      </c>
      <c r="C374" s="31">
        <v>46118</v>
      </c>
      <c r="D374" s="7" t="s">
        <v>948</v>
      </c>
      <c r="E374" s="34" t="s">
        <v>949</v>
      </c>
      <c r="F374" s="7" t="s">
        <v>106</v>
      </c>
      <c r="G374" s="7" t="s">
        <v>7</v>
      </c>
      <c r="H374" s="7">
        <v>1</v>
      </c>
      <c r="I374" s="7" t="s">
        <v>812</v>
      </c>
      <c r="J374" s="7" t="s">
        <v>803</v>
      </c>
    </row>
    <row r="375" spans="1:10" hidden="1" x14ac:dyDescent="0.35">
      <c r="A375" s="7">
        <f>ROW()-ROW(BARANGKELUAR!$A$3)</f>
        <v>372</v>
      </c>
      <c r="B375" s="7" t="s">
        <v>1656</v>
      </c>
      <c r="C375" s="31">
        <v>46119</v>
      </c>
      <c r="D375" s="7" t="s">
        <v>25</v>
      </c>
      <c r="E375" s="34" t="s">
        <v>50</v>
      </c>
      <c r="F375" s="7" t="s">
        <v>27</v>
      </c>
      <c r="G375" s="7" t="s">
        <v>7</v>
      </c>
      <c r="H375" s="7">
        <v>1</v>
      </c>
      <c r="I375" s="7" t="s">
        <v>822</v>
      </c>
      <c r="J375" s="7" t="s">
        <v>818</v>
      </c>
    </row>
    <row r="376" spans="1:10" hidden="1" x14ac:dyDescent="0.35">
      <c r="A376" s="7">
        <f>ROW()-ROW(BARANGKELUAR!$A$3)</f>
        <v>373</v>
      </c>
      <c r="B376" s="7" t="s">
        <v>1657</v>
      </c>
      <c r="C376" s="31">
        <v>46119</v>
      </c>
      <c r="D376" s="7" t="s">
        <v>25</v>
      </c>
      <c r="E376" s="34" t="s">
        <v>50</v>
      </c>
      <c r="F376" s="7" t="s">
        <v>27</v>
      </c>
      <c r="G376" s="7" t="s">
        <v>7</v>
      </c>
      <c r="H376" s="7">
        <v>1</v>
      </c>
      <c r="I376" s="7" t="s">
        <v>820</v>
      </c>
      <c r="J376" s="7" t="s">
        <v>800</v>
      </c>
    </row>
    <row r="377" spans="1:10" hidden="1" x14ac:dyDescent="0.35">
      <c r="A377" s="7">
        <f>ROW()-ROW(BARANGKELUAR!$A$3)</f>
        <v>374</v>
      </c>
      <c r="B377" s="7" t="s">
        <v>1658</v>
      </c>
      <c r="C377" s="31">
        <v>46119</v>
      </c>
      <c r="D377" s="7" t="s">
        <v>25</v>
      </c>
      <c r="E377" s="34" t="s">
        <v>50</v>
      </c>
      <c r="F377" s="7" t="s">
        <v>27</v>
      </c>
      <c r="G377" s="7" t="s">
        <v>7</v>
      </c>
      <c r="H377" s="7">
        <v>1</v>
      </c>
      <c r="I377" s="7" t="s">
        <v>805</v>
      </c>
      <c r="J377" s="7" t="s">
        <v>806</v>
      </c>
    </row>
    <row r="378" spans="1:10" hidden="1" x14ac:dyDescent="0.35">
      <c r="A378" s="7">
        <f>ROW()-ROW(BARANGKELUAR!$A$3)</f>
        <v>375</v>
      </c>
      <c r="B378" s="7" t="s">
        <v>1659</v>
      </c>
      <c r="C378" s="31">
        <v>46120</v>
      </c>
      <c r="D378" s="7" t="s">
        <v>398</v>
      </c>
      <c r="E378" s="34" t="s">
        <v>399</v>
      </c>
      <c r="F378" s="7" t="s">
        <v>30</v>
      </c>
      <c r="G378" s="7" t="s">
        <v>7</v>
      </c>
      <c r="H378" s="7">
        <v>10</v>
      </c>
      <c r="I378" s="7" t="s">
        <v>1146</v>
      </c>
      <c r="J378" s="7" t="s">
        <v>1147</v>
      </c>
    </row>
    <row r="379" spans="1:10" hidden="1" x14ac:dyDescent="0.35">
      <c r="A379" s="7">
        <f>ROW()-ROW(BARANGKELUAR!$A$3)</f>
        <v>376</v>
      </c>
      <c r="B379" s="7" t="s">
        <v>1660</v>
      </c>
      <c r="C379" s="31">
        <v>46120</v>
      </c>
      <c r="D379" s="7" t="s">
        <v>1344</v>
      </c>
      <c r="E379" s="34" t="s">
        <v>1345</v>
      </c>
      <c r="F379" s="7" t="s">
        <v>304</v>
      </c>
      <c r="G379" s="7" t="s">
        <v>7</v>
      </c>
      <c r="H379" s="7">
        <v>1</v>
      </c>
      <c r="I379" s="7" t="s">
        <v>837</v>
      </c>
      <c r="J379" s="7" t="s">
        <v>828</v>
      </c>
    </row>
    <row r="380" spans="1:10" hidden="1" x14ac:dyDescent="0.35">
      <c r="A380" s="7">
        <f>ROW()-ROW(BARANGKELUAR!$A$3)</f>
        <v>377</v>
      </c>
      <c r="B380" s="7" t="s">
        <v>1661</v>
      </c>
      <c r="C380" s="31">
        <v>46120</v>
      </c>
      <c r="D380" s="7" t="s">
        <v>25</v>
      </c>
      <c r="E380" s="34" t="s">
        <v>50</v>
      </c>
      <c r="F380" s="7" t="s">
        <v>27</v>
      </c>
      <c r="G380" s="7" t="s">
        <v>7</v>
      </c>
      <c r="H380" s="7">
        <v>1</v>
      </c>
      <c r="I380" s="7" t="s">
        <v>827</v>
      </c>
      <c r="J380" s="7" t="s">
        <v>828</v>
      </c>
    </row>
    <row r="381" spans="1:10" hidden="1" x14ac:dyDescent="0.35">
      <c r="A381" s="7">
        <f>ROW()-ROW(BARANGKELUAR!$A$3)</f>
        <v>378</v>
      </c>
      <c r="B381" s="7" t="s">
        <v>1662</v>
      </c>
      <c r="C381" s="31">
        <v>46121</v>
      </c>
      <c r="D381" s="7" t="s">
        <v>25</v>
      </c>
      <c r="E381" s="34" t="s">
        <v>50</v>
      </c>
      <c r="F381" s="7" t="s">
        <v>27</v>
      </c>
      <c r="G381" s="7" t="s">
        <v>7</v>
      </c>
      <c r="H381" s="7">
        <v>1</v>
      </c>
      <c r="I381" s="7" t="s">
        <v>817</v>
      </c>
      <c r="J381" s="7" t="s">
        <v>818</v>
      </c>
    </row>
    <row r="382" spans="1:10" hidden="1" x14ac:dyDescent="0.35">
      <c r="A382" s="7">
        <f>ROW()-ROW(BARANGKELUAR!$A$3)</f>
        <v>379</v>
      </c>
      <c r="B382" s="7" t="s">
        <v>1666</v>
      </c>
      <c r="C382" s="31">
        <v>46126</v>
      </c>
      <c r="D382" s="7" t="s">
        <v>961</v>
      </c>
      <c r="E382" s="34" t="s">
        <v>962</v>
      </c>
      <c r="F382" s="7" t="s">
        <v>106</v>
      </c>
      <c r="G382" s="7" t="s">
        <v>7</v>
      </c>
      <c r="H382" s="7">
        <v>1</v>
      </c>
      <c r="I382" s="7" t="s">
        <v>820</v>
      </c>
      <c r="J382" s="7" t="s">
        <v>800</v>
      </c>
    </row>
    <row r="383" spans="1:10" hidden="1" x14ac:dyDescent="0.35">
      <c r="A383" s="7">
        <f>ROW()-ROW(BARANGKELUAR!$A$3)</f>
        <v>380</v>
      </c>
      <c r="B383" s="7" t="s">
        <v>1667</v>
      </c>
      <c r="C383" s="31">
        <v>46126</v>
      </c>
      <c r="D383" s="7" t="s">
        <v>25</v>
      </c>
      <c r="E383" s="34" t="s">
        <v>50</v>
      </c>
      <c r="F383" s="7" t="s">
        <v>27</v>
      </c>
      <c r="G383" s="7" t="s">
        <v>7</v>
      </c>
      <c r="H383" s="7">
        <v>2</v>
      </c>
      <c r="I383" s="7" t="s">
        <v>900</v>
      </c>
      <c r="J383" s="7" t="s">
        <v>800</v>
      </c>
    </row>
    <row r="384" spans="1:10" hidden="1" x14ac:dyDescent="0.35">
      <c r="A384" s="7">
        <f>ROW()-ROW(BARANGKELUAR!$A$3)</f>
        <v>381</v>
      </c>
      <c r="B384" s="7" t="s">
        <v>1668</v>
      </c>
      <c r="C384" s="31">
        <v>46126</v>
      </c>
      <c r="D384" s="7" t="s">
        <v>1346</v>
      </c>
      <c r="E384" s="34" t="s">
        <v>1347</v>
      </c>
      <c r="F384" s="7" t="s">
        <v>304</v>
      </c>
      <c r="G384" s="7" t="s">
        <v>7</v>
      </c>
      <c r="H384" s="7">
        <v>1</v>
      </c>
      <c r="I384" s="7" t="s">
        <v>837</v>
      </c>
      <c r="J384" s="7" t="s">
        <v>828</v>
      </c>
    </row>
    <row r="385" spans="1:10" hidden="1" x14ac:dyDescent="0.35">
      <c r="A385" s="7">
        <f>ROW()-ROW(BARANGKELUAR!$A$3)</f>
        <v>382</v>
      </c>
      <c r="B385" s="7" t="s">
        <v>1669</v>
      </c>
      <c r="C385" s="31">
        <v>46128</v>
      </c>
      <c r="D385" s="7" t="s">
        <v>25</v>
      </c>
      <c r="E385" s="34" t="s">
        <v>50</v>
      </c>
      <c r="F385" s="7" t="s">
        <v>27</v>
      </c>
      <c r="G385" s="7" t="s">
        <v>7</v>
      </c>
      <c r="H385" s="7">
        <v>1</v>
      </c>
      <c r="I385" s="7" t="s">
        <v>820</v>
      </c>
      <c r="J385" s="7" t="s">
        <v>800</v>
      </c>
    </row>
    <row r="386" spans="1:10" hidden="1" x14ac:dyDescent="0.35">
      <c r="A386" s="7">
        <f>ROW()-ROW(BARANGKELUAR!$A$3)</f>
        <v>383</v>
      </c>
      <c r="B386" s="7" t="s">
        <v>1670</v>
      </c>
      <c r="C386" s="31">
        <v>46132</v>
      </c>
      <c r="D386" s="7" t="s">
        <v>1318</v>
      </c>
      <c r="E386" s="34" t="s">
        <v>1319</v>
      </c>
      <c r="F386" s="7" t="s">
        <v>30</v>
      </c>
      <c r="G386" s="7" t="s">
        <v>7</v>
      </c>
      <c r="H386" s="7">
        <v>1</v>
      </c>
      <c r="I386" s="7" t="s">
        <v>1146</v>
      </c>
      <c r="J386" s="7" t="s">
        <v>1147</v>
      </c>
    </row>
    <row r="387" spans="1:10" hidden="1" x14ac:dyDescent="0.35">
      <c r="A387" s="7">
        <f>ROW()-ROW(BARANGKELUAR!$A$3)</f>
        <v>384</v>
      </c>
      <c r="B387" s="7" t="s">
        <v>1671</v>
      </c>
      <c r="C387" s="31">
        <v>46133</v>
      </c>
      <c r="D387" s="7" t="s">
        <v>394</v>
      </c>
      <c r="E387" s="34" t="s">
        <v>395</v>
      </c>
      <c r="F387" s="7" t="s">
        <v>106</v>
      </c>
      <c r="G387" s="7" t="s">
        <v>7</v>
      </c>
      <c r="H387" s="7">
        <v>1</v>
      </c>
      <c r="I387" s="7" t="s">
        <v>1146</v>
      </c>
      <c r="J387" s="7" t="s">
        <v>1147</v>
      </c>
    </row>
    <row r="388" spans="1:10" hidden="1" x14ac:dyDescent="0.35">
      <c r="A388" s="7">
        <f>ROW()-ROW(BARANGKELUAR!$A$3)</f>
        <v>385</v>
      </c>
      <c r="B388" s="7" t="s">
        <v>1672</v>
      </c>
      <c r="C388" s="31">
        <v>46133</v>
      </c>
      <c r="D388" s="7" t="s">
        <v>460</v>
      </c>
      <c r="E388" s="34" t="s">
        <v>463</v>
      </c>
      <c r="F388" s="7" t="s">
        <v>30</v>
      </c>
      <c r="G388" s="7" t="s">
        <v>7</v>
      </c>
      <c r="H388" s="7">
        <v>1</v>
      </c>
      <c r="I388" s="7" t="s">
        <v>799</v>
      </c>
      <c r="J388" s="7" t="s">
        <v>800</v>
      </c>
    </row>
    <row r="389" spans="1:10" hidden="1" x14ac:dyDescent="0.35">
      <c r="A389" s="7">
        <f>ROW()-ROW(BARANGKELUAR!$A$3)</f>
        <v>386</v>
      </c>
      <c r="B389" s="7" t="s">
        <v>1673</v>
      </c>
      <c r="C389" s="31">
        <v>46133</v>
      </c>
      <c r="D389" s="7" t="s">
        <v>460</v>
      </c>
      <c r="E389" s="34" t="s">
        <v>463</v>
      </c>
      <c r="F389" s="7" t="s">
        <v>30</v>
      </c>
      <c r="G389" s="7" t="s">
        <v>7</v>
      </c>
      <c r="H389" s="7">
        <v>1</v>
      </c>
      <c r="I389" s="7" t="s">
        <v>883</v>
      </c>
      <c r="J389" s="7" t="s">
        <v>800</v>
      </c>
    </row>
    <row r="390" spans="1:10" hidden="1" x14ac:dyDescent="0.35">
      <c r="A390" s="7">
        <f>ROW()-ROW(BARANGKELUAR!$A$3)</f>
        <v>387</v>
      </c>
      <c r="B390" s="7" t="s">
        <v>1674</v>
      </c>
      <c r="C390" s="31">
        <v>46133</v>
      </c>
      <c r="D390" s="7" t="s">
        <v>394</v>
      </c>
      <c r="E390" s="34" t="s">
        <v>395</v>
      </c>
      <c r="F390" s="7" t="s">
        <v>106</v>
      </c>
      <c r="G390" s="7" t="s">
        <v>7</v>
      </c>
      <c r="H390" s="7">
        <v>1</v>
      </c>
      <c r="I390" s="7" t="s">
        <v>812</v>
      </c>
      <c r="J390" s="7" t="s">
        <v>803</v>
      </c>
    </row>
    <row r="391" spans="1:10" hidden="1" x14ac:dyDescent="0.35">
      <c r="A391" s="7">
        <f>ROW()-ROW(BARANGKELUAR!$A$3)</f>
        <v>388</v>
      </c>
      <c r="B391" s="7" t="s">
        <v>1675</v>
      </c>
      <c r="C391" s="31">
        <v>46135</v>
      </c>
      <c r="D391" s="7" t="s">
        <v>92</v>
      </c>
      <c r="E391" s="34" t="s">
        <v>93</v>
      </c>
      <c r="F391" s="7" t="s">
        <v>106</v>
      </c>
      <c r="G391" s="7" t="s">
        <v>7</v>
      </c>
      <c r="H391" s="7">
        <v>1</v>
      </c>
      <c r="I391" s="7" t="s">
        <v>812</v>
      </c>
      <c r="J391" s="7" t="s">
        <v>803</v>
      </c>
    </row>
    <row r="392" spans="1:10" hidden="1" x14ac:dyDescent="0.35">
      <c r="A392" s="7">
        <f>ROW()-ROW(BARANGKELUAR!$A$3)</f>
        <v>389</v>
      </c>
      <c r="B392" s="7" t="s">
        <v>1676</v>
      </c>
      <c r="C392" s="31">
        <v>46136</v>
      </c>
      <c r="D392" s="7" t="s">
        <v>25</v>
      </c>
      <c r="E392" s="34" t="s">
        <v>50</v>
      </c>
      <c r="F392" s="7" t="s">
        <v>27</v>
      </c>
      <c r="G392" s="7" t="s">
        <v>7</v>
      </c>
      <c r="H392" s="7">
        <v>2</v>
      </c>
      <c r="I392" s="7" t="s">
        <v>820</v>
      </c>
      <c r="J392" s="7" t="s">
        <v>800</v>
      </c>
    </row>
    <row r="393" spans="1:10" hidden="1" x14ac:dyDescent="0.35">
      <c r="A393" s="7">
        <f>ROW()-ROW(BARANGKELUAR!$A$3)</f>
        <v>390</v>
      </c>
      <c r="B393" s="7" t="s">
        <v>1677</v>
      </c>
      <c r="C393" s="31">
        <v>46139</v>
      </c>
      <c r="D393" s="7" t="s">
        <v>610</v>
      </c>
      <c r="E393" s="34" t="s">
        <v>611</v>
      </c>
      <c r="F393" s="7" t="s">
        <v>30</v>
      </c>
      <c r="G393" s="7" t="s">
        <v>7</v>
      </c>
      <c r="H393" s="7">
        <v>1</v>
      </c>
      <c r="I393" s="7" t="s">
        <v>891</v>
      </c>
      <c r="J393" s="7" t="s">
        <v>806</v>
      </c>
    </row>
    <row r="394" spans="1:10" hidden="1" x14ac:dyDescent="0.35">
      <c r="A394" s="7">
        <f>ROW()-ROW(BARANGKELUAR!$A$3)</f>
        <v>391</v>
      </c>
      <c r="B394" s="7" t="s">
        <v>1678</v>
      </c>
      <c r="C394" s="31">
        <v>46140</v>
      </c>
      <c r="D394" s="7" t="s">
        <v>528</v>
      </c>
      <c r="E394" s="34" t="s">
        <v>529</v>
      </c>
      <c r="F394" s="7" t="s">
        <v>30</v>
      </c>
      <c r="G394" s="7" t="s">
        <v>7</v>
      </c>
      <c r="H394" s="7">
        <v>1</v>
      </c>
      <c r="I394" s="7" t="s">
        <v>888</v>
      </c>
      <c r="J394" s="7" t="s">
        <v>800</v>
      </c>
    </row>
    <row r="395" spans="1:10" hidden="1" x14ac:dyDescent="0.35">
      <c r="A395" s="7">
        <f>ROW()-ROW(BARANGKELUAR!$A$3)</f>
        <v>392</v>
      </c>
      <c r="B395" s="7" t="s">
        <v>1679</v>
      </c>
      <c r="C395" s="31">
        <v>46140</v>
      </c>
      <c r="D395" s="7" t="s">
        <v>585</v>
      </c>
      <c r="E395" s="34" t="s">
        <v>586</v>
      </c>
      <c r="F395" s="7" t="s">
        <v>30</v>
      </c>
      <c r="G395" s="7" t="s">
        <v>7</v>
      </c>
      <c r="H395" s="7">
        <v>3</v>
      </c>
      <c r="I395" s="7" t="s">
        <v>888</v>
      </c>
      <c r="J395" s="7" t="s">
        <v>800</v>
      </c>
    </row>
    <row r="396" spans="1:10" hidden="1" x14ac:dyDescent="0.35">
      <c r="A396" s="7">
        <f>ROW()-ROW(BARANGKELUAR!$A$3)</f>
        <v>393</v>
      </c>
      <c r="B396" s="7" t="s">
        <v>1680</v>
      </c>
      <c r="C396" s="31">
        <v>46140</v>
      </c>
      <c r="D396" s="7" t="s">
        <v>1092</v>
      </c>
      <c r="E396" s="34" t="s">
        <v>1093</v>
      </c>
      <c r="F396" s="7" t="s">
        <v>30</v>
      </c>
      <c r="G396" s="7" t="s">
        <v>7</v>
      </c>
      <c r="H396" s="7">
        <v>1</v>
      </c>
      <c r="I396" s="7" t="s">
        <v>891</v>
      </c>
      <c r="J396" s="7" t="s">
        <v>806</v>
      </c>
    </row>
    <row r="397" spans="1:10" hidden="1" x14ac:dyDescent="0.35">
      <c r="A397" s="7">
        <f>ROW()-ROW(BARANGKELUAR!$A$3)</f>
        <v>394</v>
      </c>
      <c r="B397" s="7" t="s">
        <v>1681</v>
      </c>
      <c r="C397" s="31">
        <v>46140</v>
      </c>
      <c r="D397" s="7" t="s">
        <v>1092</v>
      </c>
      <c r="E397" s="34" t="s">
        <v>1093</v>
      </c>
      <c r="F397" s="7" t="s">
        <v>30</v>
      </c>
      <c r="G397" s="7" t="s">
        <v>7</v>
      </c>
      <c r="H397" s="7">
        <v>1</v>
      </c>
      <c r="I397" s="7" t="s">
        <v>805</v>
      </c>
      <c r="J397" s="7" t="s">
        <v>806</v>
      </c>
    </row>
    <row r="398" spans="1:10" hidden="1" x14ac:dyDescent="0.35">
      <c r="A398" s="7">
        <f>ROW()-ROW(BARANGKELUAR!$A$3)</f>
        <v>395</v>
      </c>
      <c r="B398" s="7" t="s">
        <v>1682</v>
      </c>
      <c r="C398" s="31">
        <v>46140</v>
      </c>
      <c r="D398" s="7" t="s">
        <v>28</v>
      </c>
      <c r="E398" s="34" t="s">
        <v>51</v>
      </c>
      <c r="F398" s="7" t="s">
        <v>35</v>
      </c>
      <c r="G398" s="7" t="s">
        <v>7</v>
      </c>
      <c r="H398" s="7">
        <v>1</v>
      </c>
      <c r="I398" s="7" t="s">
        <v>834</v>
      </c>
      <c r="J398" s="7" t="s">
        <v>835</v>
      </c>
    </row>
    <row r="399" spans="1:10" hidden="1" x14ac:dyDescent="0.35">
      <c r="A399" s="7">
        <f>ROW()-ROW(BARANGKELUAR!$A$3)</f>
        <v>396</v>
      </c>
      <c r="B399" s="7" t="s">
        <v>1683</v>
      </c>
      <c r="C399" s="31">
        <v>46140</v>
      </c>
      <c r="D399" s="7" t="s">
        <v>52</v>
      </c>
      <c r="E399" s="34" t="s">
        <v>53</v>
      </c>
      <c r="F399" s="7" t="s">
        <v>35</v>
      </c>
      <c r="G399" s="7" t="s">
        <v>7</v>
      </c>
      <c r="H399" s="7">
        <v>1</v>
      </c>
      <c r="I399" s="7" t="s">
        <v>834</v>
      </c>
      <c r="J399" s="7" t="s">
        <v>835</v>
      </c>
    </row>
    <row r="400" spans="1:10" hidden="1" x14ac:dyDescent="0.35">
      <c r="A400" s="7">
        <f>ROW()-ROW(BARANGKELUAR!$A$3)</f>
        <v>397</v>
      </c>
      <c r="B400" s="7" t="s">
        <v>1684</v>
      </c>
      <c r="C400" s="31">
        <v>46140</v>
      </c>
      <c r="D400" s="7" t="s">
        <v>54</v>
      </c>
      <c r="E400" s="34" t="s">
        <v>55</v>
      </c>
      <c r="F400" s="7" t="s">
        <v>35</v>
      </c>
      <c r="G400" s="7" t="s">
        <v>7</v>
      </c>
      <c r="H400" s="7">
        <v>1</v>
      </c>
      <c r="I400" s="7" t="s">
        <v>834</v>
      </c>
      <c r="J400" s="7" t="s">
        <v>835</v>
      </c>
    </row>
    <row r="401" spans="1:10" hidden="1" x14ac:dyDescent="0.35">
      <c r="A401" s="7">
        <f>ROW()-ROW(BARANGKELUAR!$A$3)</f>
        <v>398</v>
      </c>
      <c r="B401" s="7" t="s">
        <v>1685</v>
      </c>
      <c r="C401" s="31">
        <v>46140</v>
      </c>
      <c r="D401" s="7" t="s">
        <v>56</v>
      </c>
      <c r="E401" s="34" t="s">
        <v>57</v>
      </c>
      <c r="F401" s="7" t="s">
        <v>35</v>
      </c>
      <c r="G401" s="7" t="s">
        <v>7</v>
      </c>
      <c r="H401" s="7">
        <v>1</v>
      </c>
      <c r="I401" s="7" t="s">
        <v>834</v>
      </c>
      <c r="J401" s="7" t="s">
        <v>835</v>
      </c>
    </row>
    <row r="402" spans="1:10" hidden="1" x14ac:dyDescent="0.35">
      <c r="A402" s="7">
        <f>ROW()-ROW(BARANGKELUAR!$A$3)</f>
        <v>399</v>
      </c>
      <c r="B402" s="7" t="s">
        <v>1686</v>
      </c>
      <c r="C402" s="31">
        <v>46140</v>
      </c>
      <c r="D402" s="7" t="s">
        <v>128</v>
      </c>
      <c r="E402" s="34" t="s">
        <v>129</v>
      </c>
      <c r="F402" s="7" t="s">
        <v>30</v>
      </c>
      <c r="G402" s="7" t="s">
        <v>7</v>
      </c>
      <c r="H402" s="7">
        <v>1</v>
      </c>
      <c r="I402" s="7" t="s">
        <v>834</v>
      </c>
      <c r="J402" s="7" t="s">
        <v>835</v>
      </c>
    </row>
    <row r="403" spans="1:10" hidden="1" x14ac:dyDescent="0.35">
      <c r="A403" s="7">
        <f>ROW()-ROW(BARANGKELUAR!$A$3)</f>
        <v>400</v>
      </c>
      <c r="B403" s="7" t="s">
        <v>1687</v>
      </c>
      <c r="C403" s="31">
        <v>46141</v>
      </c>
      <c r="D403" s="7" t="s">
        <v>25</v>
      </c>
      <c r="E403" s="34" t="s">
        <v>50</v>
      </c>
      <c r="F403" s="7" t="s">
        <v>27</v>
      </c>
      <c r="G403" s="7" t="s">
        <v>7</v>
      </c>
      <c r="H403" s="7">
        <v>1</v>
      </c>
      <c r="I403" s="7" t="s">
        <v>837</v>
      </c>
      <c r="J403" s="7" t="s">
        <v>828</v>
      </c>
    </row>
    <row r="404" spans="1:10" hidden="1" x14ac:dyDescent="0.35">
      <c r="A404" s="7">
        <f>ROW()-ROW(BARANGKELUAR!$A$3)</f>
        <v>401</v>
      </c>
      <c r="B404" s="7" t="s">
        <v>1688</v>
      </c>
      <c r="C404" s="31">
        <v>46142</v>
      </c>
      <c r="D404" s="7" t="s">
        <v>28</v>
      </c>
      <c r="E404" s="34" t="s">
        <v>51</v>
      </c>
      <c r="F404" s="7" t="s">
        <v>35</v>
      </c>
      <c r="G404" s="7" t="s">
        <v>7</v>
      </c>
      <c r="H404" s="7">
        <v>1</v>
      </c>
      <c r="I404" s="7" t="s">
        <v>891</v>
      </c>
      <c r="J404" s="7" t="s">
        <v>806</v>
      </c>
    </row>
    <row r="405" spans="1:10" hidden="1" x14ac:dyDescent="0.35">
      <c r="A405" s="7">
        <f>ROW()-ROW(BARANGKELUAR!$A$3)</f>
        <v>402</v>
      </c>
      <c r="B405" s="7" t="s">
        <v>1713</v>
      </c>
      <c r="C405" s="31">
        <v>46146</v>
      </c>
      <c r="D405" s="7" t="s">
        <v>25</v>
      </c>
      <c r="E405" s="34" t="s">
        <v>50</v>
      </c>
      <c r="F405" s="7" t="s">
        <v>27</v>
      </c>
      <c r="G405" s="7" t="s">
        <v>7</v>
      </c>
      <c r="H405" s="7">
        <v>1</v>
      </c>
      <c r="I405" s="7" t="s">
        <v>812</v>
      </c>
      <c r="J405" s="7" t="s">
        <v>803</v>
      </c>
    </row>
    <row r="406" spans="1:10" hidden="1" x14ac:dyDescent="0.35">
      <c r="A406" s="7">
        <f>ROW()-ROW(BARANGKELUAR!$A$3)</f>
        <v>403</v>
      </c>
      <c r="B406" s="7" t="s">
        <v>1714</v>
      </c>
      <c r="C406" s="31">
        <v>46148</v>
      </c>
      <c r="D406" s="7" t="s">
        <v>25</v>
      </c>
      <c r="E406" s="34" t="s">
        <v>50</v>
      </c>
      <c r="F406" s="7" t="s">
        <v>27</v>
      </c>
      <c r="G406" s="7" t="s">
        <v>7</v>
      </c>
      <c r="H406" s="7">
        <v>1</v>
      </c>
      <c r="I406" s="7" t="s">
        <v>820</v>
      </c>
      <c r="J406" s="7" t="s">
        <v>800</v>
      </c>
    </row>
    <row r="407" spans="1:10" hidden="1" x14ac:dyDescent="0.35">
      <c r="A407" s="7">
        <f>ROW()-ROW(BARANGKELUAR!$A$3)</f>
        <v>404</v>
      </c>
      <c r="B407" s="7" t="s">
        <v>1715</v>
      </c>
      <c r="C407" s="31">
        <v>46149</v>
      </c>
      <c r="D407" s="7" t="s">
        <v>25</v>
      </c>
      <c r="E407" s="34" t="s">
        <v>50</v>
      </c>
      <c r="F407" s="7" t="s">
        <v>27</v>
      </c>
      <c r="G407" s="7" t="s">
        <v>7</v>
      </c>
      <c r="H407" s="7">
        <v>1</v>
      </c>
      <c r="I407" s="7" t="s">
        <v>891</v>
      </c>
      <c r="J407" s="7" t="s">
        <v>806</v>
      </c>
    </row>
    <row r="408" spans="1:10" hidden="1" x14ac:dyDescent="0.35">
      <c r="A408" s="7">
        <f>ROW()-ROW(BARANGKELUAR!$A$3)</f>
        <v>405</v>
      </c>
      <c r="B408" s="7" t="s">
        <v>1716</v>
      </c>
      <c r="C408" s="31">
        <v>46153</v>
      </c>
      <c r="D408" s="7" t="s">
        <v>25</v>
      </c>
      <c r="E408" s="34" t="s">
        <v>50</v>
      </c>
      <c r="F408" s="7" t="s">
        <v>27</v>
      </c>
      <c r="G408" s="7" t="s">
        <v>7</v>
      </c>
      <c r="H408" s="7">
        <v>1</v>
      </c>
      <c r="I408" s="7" t="s">
        <v>802</v>
      </c>
      <c r="J408" s="7" t="s">
        <v>803</v>
      </c>
    </row>
    <row r="409" spans="1:10" hidden="1" x14ac:dyDescent="0.35">
      <c r="A409" s="7">
        <f>ROW()-ROW(BARANGKELUAR!$A$3)</f>
        <v>406</v>
      </c>
      <c r="B409" s="7" t="s">
        <v>1717</v>
      </c>
      <c r="C409" s="31">
        <v>46159</v>
      </c>
      <c r="D409" s="7" t="s">
        <v>760</v>
      </c>
      <c r="E409" s="34" t="s">
        <v>759</v>
      </c>
      <c r="F409" s="7" t="s">
        <v>562</v>
      </c>
      <c r="G409" s="7" t="s">
        <v>7</v>
      </c>
      <c r="H409" s="7">
        <v>1</v>
      </c>
      <c r="I409" s="7" t="s">
        <v>891</v>
      </c>
      <c r="J409" s="7" t="s">
        <v>806</v>
      </c>
    </row>
    <row r="410" spans="1:10" hidden="1" x14ac:dyDescent="0.35">
      <c r="A410" s="7">
        <f>ROW()-ROW(BARANGKELUAR!$A$3)</f>
        <v>407</v>
      </c>
      <c r="B410" s="7" t="s">
        <v>1718</v>
      </c>
      <c r="C410" s="31">
        <v>46160</v>
      </c>
      <c r="D410" s="7" t="s">
        <v>549</v>
      </c>
      <c r="E410" s="34" t="s">
        <v>550</v>
      </c>
      <c r="F410" s="7" t="s">
        <v>30</v>
      </c>
      <c r="G410" s="7" t="s">
        <v>7</v>
      </c>
      <c r="H410" s="7">
        <v>1</v>
      </c>
      <c r="I410" s="7" t="s">
        <v>883</v>
      </c>
      <c r="J410" s="7" t="s">
        <v>806</v>
      </c>
    </row>
    <row r="411" spans="1:10" hidden="1" x14ac:dyDescent="0.35">
      <c r="A411" s="7">
        <f>ROW()-ROW(BARANGKELUAR!$A$3)</f>
        <v>408</v>
      </c>
      <c r="B411" s="7" t="s">
        <v>1719</v>
      </c>
      <c r="C411" s="31">
        <v>46160</v>
      </c>
      <c r="D411" s="7" t="s">
        <v>25</v>
      </c>
      <c r="E411" s="34" t="s">
        <v>50</v>
      </c>
      <c r="F411" s="7" t="s">
        <v>27</v>
      </c>
      <c r="G411" s="7" t="s">
        <v>7</v>
      </c>
      <c r="H411" s="7">
        <v>1</v>
      </c>
      <c r="I411" s="7" t="s">
        <v>820</v>
      </c>
      <c r="J411" s="7" t="s">
        <v>800</v>
      </c>
    </row>
    <row r="412" spans="1:10" hidden="1" x14ac:dyDescent="0.35">
      <c r="A412" s="7">
        <f>ROW()-ROW(BARANGKELUAR!$A$3)</f>
        <v>409</v>
      </c>
      <c r="B412" s="7" t="s">
        <v>1720</v>
      </c>
      <c r="C412" s="31">
        <v>46161</v>
      </c>
      <c r="D412" s="7" t="s">
        <v>1041</v>
      </c>
      <c r="E412" s="34" t="s">
        <v>1042</v>
      </c>
      <c r="F412" s="7" t="s">
        <v>27</v>
      </c>
      <c r="G412" s="7" t="s">
        <v>7</v>
      </c>
      <c r="H412" s="7">
        <v>1</v>
      </c>
      <c r="I412" s="7" t="s">
        <v>834</v>
      </c>
      <c r="J412" s="7" t="s">
        <v>835</v>
      </c>
    </row>
    <row r="413" spans="1:10" hidden="1" x14ac:dyDescent="0.35">
      <c r="A413" s="7">
        <f>ROW()-ROW(BARANGKELUAR!$A$3)</f>
        <v>410</v>
      </c>
      <c r="B413" s="7" t="s">
        <v>1721</v>
      </c>
      <c r="C413" s="31">
        <v>46162</v>
      </c>
      <c r="D413" s="7" t="s">
        <v>25</v>
      </c>
      <c r="E413" s="34" t="s">
        <v>50</v>
      </c>
      <c r="F413" s="7" t="s">
        <v>27</v>
      </c>
      <c r="G413" s="7" t="s">
        <v>7</v>
      </c>
      <c r="H413" s="7">
        <v>1</v>
      </c>
      <c r="I413" s="7" t="s">
        <v>799</v>
      </c>
      <c r="J413" s="7" t="s">
        <v>800</v>
      </c>
    </row>
    <row r="414" spans="1:10" hidden="1" x14ac:dyDescent="0.35">
      <c r="A414" s="7">
        <f>ROW()-ROW(BARANGKELUAR!$A$3)</f>
        <v>411</v>
      </c>
      <c r="B414" s="7" t="s">
        <v>1722</v>
      </c>
      <c r="C414" s="31">
        <v>46162</v>
      </c>
      <c r="D414" s="7" t="s">
        <v>110</v>
      </c>
      <c r="E414" s="34" t="s">
        <v>111</v>
      </c>
      <c r="F414" s="7" t="s">
        <v>106</v>
      </c>
      <c r="G414" s="7" t="s">
        <v>7</v>
      </c>
      <c r="H414" s="7">
        <v>1</v>
      </c>
      <c r="I414" s="7" t="s">
        <v>834</v>
      </c>
      <c r="J414" s="7" t="s">
        <v>835</v>
      </c>
    </row>
    <row r="415" spans="1:10" hidden="1" x14ac:dyDescent="0.35">
      <c r="A415" s="7">
        <f>ROW()-ROW(BARANGKELUAR!$A$3)</f>
        <v>412</v>
      </c>
      <c r="B415" s="7" t="s">
        <v>1723</v>
      </c>
      <c r="C415" s="31">
        <v>46167</v>
      </c>
      <c r="D415" s="7" t="s">
        <v>663</v>
      </c>
      <c r="E415" s="34" t="s">
        <v>664</v>
      </c>
      <c r="F415" s="7" t="s">
        <v>562</v>
      </c>
      <c r="G415" s="7" t="s">
        <v>7</v>
      </c>
      <c r="H415" s="7">
        <v>1</v>
      </c>
      <c r="I415" s="7" t="s">
        <v>812</v>
      </c>
      <c r="J415" s="7" t="s">
        <v>803</v>
      </c>
    </row>
    <row r="416" spans="1:10" hidden="1" x14ac:dyDescent="0.35">
      <c r="A416" s="7">
        <f>ROW()-ROW(BARANGKELUAR!$A$3)</f>
        <v>413</v>
      </c>
      <c r="B416" s="7" t="s">
        <v>1724</v>
      </c>
      <c r="C416" s="31">
        <v>46168</v>
      </c>
      <c r="D416" s="7" t="s">
        <v>25</v>
      </c>
      <c r="E416" s="34" t="s">
        <v>50</v>
      </c>
      <c r="F416" s="7" t="s">
        <v>27</v>
      </c>
      <c r="G416" s="7" t="s">
        <v>7</v>
      </c>
      <c r="H416" s="7">
        <v>1</v>
      </c>
      <c r="I416" s="7" t="s">
        <v>820</v>
      </c>
      <c r="J416" s="7" t="s">
        <v>800</v>
      </c>
    </row>
    <row r="417" spans="1:10" hidden="1" x14ac:dyDescent="0.35">
      <c r="A417" s="7">
        <f>ROW()-ROW(BARANGKELUAR!$A$3)</f>
        <v>414</v>
      </c>
      <c r="B417" s="7" t="s">
        <v>1725</v>
      </c>
      <c r="C417" s="31">
        <v>46168</v>
      </c>
      <c r="D417" s="7" t="s">
        <v>119</v>
      </c>
      <c r="E417" s="34" t="s">
        <v>120</v>
      </c>
      <c r="F417" s="7" t="s">
        <v>521</v>
      </c>
      <c r="G417" s="7" t="s">
        <v>7</v>
      </c>
      <c r="H417" s="7">
        <v>1</v>
      </c>
      <c r="I417" s="7" t="s">
        <v>817</v>
      </c>
      <c r="J417" s="7" t="s">
        <v>818</v>
      </c>
    </row>
    <row r="418" spans="1:10" hidden="1" x14ac:dyDescent="0.35">
      <c r="A418" s="7">
        <f>ROW()-ROW(BARANGKELUAR!$A$3)</f>
        <v>415</v>
      </c>
      <c r="B418" s="7" t="s">
        <v>1726</v>
      </c>
      <c r="C418" s="31">
        <v>46172</v>
      </c>
      <c r="D418" s="7" t="s">
        <v>1706</v>
      </c>
      <c r="E418" s="34" t="s">
        <v>1707</v>
      </c>
      <c r="F418" s="7" t="s">
        <v>47</v>
      </c>
      <c r="G418" s="7" t="s">
        <v>7</v>
      </c>
      <c r="H418" s="7">
        <v>160</v>
      </c>
      <c r="I418" s="7" t="s">
        <v>1187</v>
      </c>
      <c r="J418" s="7" t="s">
        <v>818</v>
      </c>
    </row>
    <row r="419" spans="1:10" hidden="1" x14ac:dyDescent="0.35">
      <c r="A419" s="7">
        <f>ROW()-ROW(BARANGKELUAR!$A$3)</f>
        <v>416</v>
      </c>
      <c r="B419" s="7" t="s">
        <v>1727</v>
      </c>
      <c r="C419" s="31">
        <v>46172</v>
      </c>
      <c r="D419" s="7" t="s">
        <v>1708</v>
      </c>
      <c r="E419" s="34" t="s">
        <v>1709</v>
      </c>
      <c r="F419" s="7" t="s">
        <v>47</v>
      </c>
      <c r="G419" s="7" t="s">
        <v>7</v>
      </c>
      <c r="H419" s="7">
        <v>160</v>
      </c>
      <c r="I419" s="7" t="s">
        <v>1187</v>
      </c>
      <c r="J419" s="7" t="s">
        <v>818</v>
      </c>
    </row>
    <row r="420" spans="1:10" hidden="1" x14ac:dyDescent="0.35">
      <c r="A420" s="7">
        <f>ROW()-ROW(BARANGKELUAR!$A$3)</f>
        <v>417</v>
      </c>
      <c r="B420" s="7" t="s">
        <v>1782</v>
      </c>
      <c r="C420" s="31">
        <v>46197</v>
      </c>
      <c r="D420" s="7" t="s">
        <v>549</v>
      </c>
      <c r="E420" s="34" t="s">
        <v>550</v>
      </c>
      <c r="F420" s="7" t="s">
        <v>30</v>
      </c>
      <c r="G420" s="7" t="s">
        <v>7</v>
      </c>
      <c r="H420" s="7">
        <v>1</v>
      </c>
      <c r="I420" s="7" t="s">
        <v>822</v>
      </c>
      <c r="J420" s="7" t="s">
        <v>818</v>
      </c>
    </row>
    <row r="421" spans="1:10" hidden="1" x14ac:dyDescent="0.35">
      <c r="A421" s="7">
        <f>ROW()-ROW(BARANGKELUAR!$A$3)</f>
        <v>418</v>
      </c>
      <c r="B421" s="7" t="s">
        <v>1728</v>
      </c>
      <c r="C421" s="31">
        <v>46174</v>
      </c>
      <c r="D421" s="7" t="s">
        <v>205</v>
      </c>
      <c r="E421" s="34" t="s">
        <v>206</v>
      </c>
      <c r="F421" s="7" t="s">
        <v>30</v>
      </c>
      <c r="G421" s="7" t="s">
        <v>7</v>
      </c>
      <c r="H421" s="7">
        <v>1</v>
      </c>
      <c r="I421" s="7" t="s">
        <v>888</v>
      </c>
      <c r="J421" s="7" t="s">
        <v>800</v>
      </c>
    </row>
    <row r="422" spans="1:10" hidden="1" x14ac:dyDescent="0.35">
      <c r="A422" s="7">
        <f>ROW()-ROW(BARANGKELUAR!$A$3)</f>
        <v>419</v>
      </c>
      <c r="B422" s="7" t="s">
        <v>1729</v>
      </c>
      <c r="C422" s="31">
        <v>46174</v>
      </c>
      <c r="D422" s="7" t="s">
        <v>454</v>
      </c>
      <c r="E422" s="34" t="s">
        <v>455</v>
      </c>
      <c r="F422" s="7" t="s">
        <v>106</v>
      </c>
      <c r="G422" s="7" t="s">
        <v>7</v>
      </c>
      <c r="H422" s="7">
        <v>1</v>
      </c>
      <c r="I422" s="7" t="s">
        <v>888</v>
      </c>
      <c r="J422" s="7" t="s">
        <v>800</v>
      </c>
    </row>
    <row r="423" spans="1:10" hidden="1" x14ac:dyDescent="0.35">
      <c r="A423" s="7">
        <f>ROW()-ROW(BARANGKELUAR!$A$3)</f>
        <v>420</v>
      </c>
      <c r="B423" s="7" t="s">
        <v>1730</v>
      </c>
      <c r="C423" s="31">
        <v>46174</v>
      </c>
      <c r="D423" s="7" t="s">
        <v>1326</v>
      </c>
      <c r="E423" s="34" t="s">
        <v>1327</v>
      </c>
      <c r="F423" s="7" t="s">
        <v>304</v>
      </c>
      <c r="G423" s="7" t="s">
        <v>7</v>
      </c>
      <c r="H423" s="7">
        <v>1</v>
      </c>
      <c r="I423" s="7" t="s">
        <v>1146</v>
      </c>
      <c r="J423" s="7" t="s">
        <v>1147</v>
      </c>
    </row>
    <row r="424" spans="1:10" hidden="1" x14ac:dyDescent="0.35">
      <c r="A424" s="7">
        <f>ROW()-ROW(BARANGKELUAR!$A$3)</f>
        <v>421</v>
      </c>
      <c r="B424" s="7" t="s">
        <v>1731</v>
      </c>
      <c r="C424" s="31">
        <v>46175</v>
      </c>
      <c r="D424" s="7" t="s">
        <v>1295</v>
      </c>
      <c r="E424" s="34" t="s">
        <v>1296</v>
      </c>
      <c r="F424" s="7" t="s">
        <v>106</v>
      </c>
      <c r="G424" s="7" t="s">
        <v>7</v>
      </c>
      <c r="H424" s="7">
        <v>1</v>
      </c>
      <c r="I424" s="7" t="s">
        <v>837</v>
      </c>
      <c r="J424" s="7" t="s">
        <v>828</v>
      </c>
    </row>
    <row r="425" spans="1:10" hidden="1" x14ac:dyDescent="0.35">
      <c r="A425" s="7">
        <f>ROW()-ROW(BARANGKELUAR!$A$3)</f>
        <v>422</v>
      </c>
      <c r="B425" s="7" t="s">
        <v>1783</v>
      </c>
      <c r="C425" s="31">
        <v>46190</v>
      </c>
      <c r="D425" s="7" t="s">
        <v>58</v>
      </c>
      <c r="E425" s="34" t="s">
        <v>59</v>
      </c>
      <c r="F425" s="7" t="s">
        <v>35</v>
      </c>
      <c r="G425" s="7" t="s">
        <v>7</v>
      </c>
      <c r="H425" s="7">
        <v>1</v>
      </c>
      <c r="I425" s="7" t="s">
        <v>834</v>
      </c>
      <c r="J425" s="7" t="s">
        <v>835</v>
      </c>
    </row>
    <row r="426" spans="1:10" hidden="1" x14ac:dyDescent="0.35">
      <c r="A426" s="7">
        <f>ROW()-ROW(BARANGKELUAR!$A$3)</f>
        <v>423</v>
      </c>
      <c r="B426" s="7" t="s">
        <v>1784</v>
      </c>
      <c r="C426" s="31">
        <v>46190</v>
      </c>
      <c r="D426" s="7" t="s">
        <v>60</v>
      </c>
      <c r="E426" s="34" t="s">
        <v>61</v>
      </c>
      <c r="F426" s="7" t="s">
        <v>35</v>
      </c>
      <c r="G426" s="7" t="s">
        <v>7</v>
      </c>
      <c r="H426" s="7">
        <v>1</v>
      </c>
      <c r="I426" s="7" t="s">
        <v>834</v>
      </c>
      <c r="J426" s="7" t="s">
        <v>835</v>
      </c>
    </row>
    <row r="427" spans="1:10" hidden="1" x14ac:dyDescent="0.35">
      <c r="A427" s="7">
        <f>ROW()-ROW(BARANGKELUAR!$A$3)</f>
        <v>424</v>
      </c>
      <c r="B427" s="7" t="s">
        <v>1785</v>
      </c>
      <c r="C427" s="31">
        <v>46191</v>
      </c>
      <c r="D427" s="7" t="s">
        <v>394</v>
      </c>
      <c r="E427" s="34" t="s">
        <v>395</v>
      </c>
      <c r="F427" s="7" t="s">
        <v>106</v>
      </c>
      <c r="G427" s="7" t="s">
        <v>7</v>
      </c>
      <c r="H427" s="7">
        <v>1</v>
      </c>
      <c r="I427" s="7" t="s">
        <v>812</v>
      </c>
      <c r="J427" s="7" t="s">
        <v>806</v>
      </c>
    </row>
    <row r="428" spans="1:10" hidden="1" x14ac:dyDescent="0.35">
      <c r="A428" s="7">
        <f>ROW()-ROW(BARANGKELUAR!$A$3)</f>
        <v>425</v>
      </c>
      <c r="B428" s="7" t="s">
        <v>1786</v>
      </c>
      <c r="C428" s="31">
        <v>46191</v>
      </c>
      <c r="D428" s="7" t="s">
        <v>1342</v>
      </c>
      <c r="E428" s="34" t="s">
        <v>1343</v>
      </c>
      <c r="F428" s="7" t="s">
        <v>106</v>
      </c>
      <c r="G428" s="7" t="s">
        <v>7</v>
      </c>
      <c r="H428" s="7">
        <v>1</v>
      </c>
      <c r="I428" s="7" t="s">
        <v>1187</v>
      </c>
      <c r="J428" s="7" t="s">
        <v>818</v>
      </c>
    </row>
    <row r="429" spans="1:10" hidden="1" x14ac:dyDescent="0.35">
      <c r="A429" s="7">
        <f>ROW()-ROW(BARANGKELUAR!$A$3)</f>
        <v>426</v>
      </c>
      <c r="B429" s="7" t="s">
        <v>1787</v>
      </c>
      <c r="C429" s="31">
        <v>46191</v>
      </c>
      <c r="D429" s="7" t="s">
        <v>25</v>
      </c>
      <c r="E429" s="34" t="s">
        <v>50</v>
      </c>
      <c r="F429" s="7" t="s">
        <v>27</v>
      </c>
      <c r="G429" s="7" t="s">
        <v>7</v>
      </c>
      <c r="H429" s="7">
        <v>1</v>
      </c>
      <c r="I429" s="7" t="s">
        <v>827</v>
      </c>
      <c r="J429" s="7" t="s">
        <v>828</v>
      </c>
    </row>
    <row r="430" spans="1:10" hidden="1" x14ac:dyDescent="0.35">
      <c r="A430" s="7">
        <f>ROW()-ROW(BARANGKELUAR!$A$3)</f>
        <v>427</v>
      </c>
      <c r="B430" s="7" t="s">
        <v>1788</v>
      </c>
      <c r="C430" s="31">
        <v>46194</v>
      </c>
      <c r="D430" s="7" t="s">
        <v>25</v>
      </c>
      <c r="E430" s="34" t="s">
        <v>50</v>
      </c>
      <c r="F430" s="7" t="s">
        <v>27</v>
      </c>
      <c r="G430" s="7" t="s">
        <v>7</v>
      </c>
      <c r="H430" s="7">
        <v>1</v>
      </c>
      <c r="I430" s="7" t="s">
        <v>820</v>
      </c>
      <c r="J430" s="7" t="s">
        <v>800</v>
      </c>
    </row>
    <row r="431" spans="1:10" hidden="1" x14ac:dyDescent="0.35">
      <c r="A431" s="7">
        <f>ROW()-ROW(BARANGKELUAR!$A$3)</f>
        <v>428</v>
      </c>
      <c r="B431" s="7" t="s">
        <v>1789</v>
      </c>
      <c r="C431" s="31">
        <v>46194</v>
      </c>
      <c r="D431" s="7" t="s">
        <v>25</v>
      </c>
      <c r="E431" s="34" t="s">
        <v>50</v>
      </c>
      <c r="F431" s="7" t="s">
        <v>27</v>
      </c>
      <c r="G431" s="7" t="s">
        <v>7</v>
      </c>
      <c r="H431" s="7">
        <v>1</v>
      </c>
      <c r="I431" s="7" t="s">
        <v>799</v>
      </c>
      <c r="J431" s="7" t="s">
        <v>800</v>
      </c>
    </row>
    <row r="432" spans="1:10" hidden="1" x14ac:dyDescent="0.35">
      <c r="A432" s="7">
        <f>ROW()-ROW(BARANGKELUAR!$A$3)</f>
        <v>429</v>
      </c>
      <c r="B432" s="7" t="s">
        <v>1790</v>
      </c>
      <c r="C432" s="31">
        <v>46195</v>
      </c>
      <c r="D432" s="7" t="s">
        <v>1041</v>
      </c>
      <c r="E432" s="34" t="s">
        <v>1042</v>
      </c>
      <c r="F432" s="7" t="s">
        <v>27</v>
      </c>
      <c r="G432" s="7" t="s">
        <v>7</v>
      </c>
      <c r="H432" s="7">
        <v>1</v>
      </c>
      <c r="I432" s="7" t="s">
        <v>834</v>
      </c>
      <c r="J432" s="7" t="s">
        <v>835</v>
      </c>
    </row>
    <row r="433" spans="1:10" hidden="1" x14ac:dyDescent="0.35">
      <c r="A433" s="7">
        <f>ROW()-ROW(BARANGKELUAR!$A$3)</f>
        <v>430</v>
      </c>
      <c r="B433" s="7" t="s">
        <v>1791</v>
      </c>
      <c r="C433" s="31">
        <v>46195</v>
      </c>
      <c r="D433" s="7" t="s">
        <v>25</v>
      </c>
      <c r="E433" s="34" t="s">
        <v>50</v>
      </c>
      <c r="F433" s="7" t="s">
        <v>27</v>
      </c>
      <c r="G433" s="7" t="s">
        <v>7</v>
      </c>
      <c r="H433" s="7">
        <v>1</v>
      </c>
      <c r="I433" s="7" t="s">
        <v>834</v>
      </c>
      <c r="J433" s="7" t="s">
        <v>835</v>
      </c>
    </row>
    <row r="434" spans="1:10" hidden="1" x14ac:dyDescent="0.35">
      <c r="A434" s="7">
        <f>ROW()-ROW(BARANGKELUAR!$A$3)</f>
        <v>431</v>
      </c>
      <c r="B434" s="7" t="s">
        <v>1792</v>
      </c>
      <c r="C434" s="31">
        <v>46188</v>
      </c>
      <c r="D434" s="7" t="s">
        <v>402</v>
      </c>
      <c r="E434" s="34" t="s">
        <v>403</v>
      </c>
      <c r="F434" s="7" t="s">
        <v>41</v>
      </c>
      <c r="G434" s="7" t="s">
        <v>7</v>
      </c>
      <c r="H434" s="7">
        <v>4</v>
      </c>
      <c r="I434" s="7" t="s">
        <v>888</v>
      </c>
      <c r="J434" s="7" t="s">
        <v>800</v>
      </c>
    </row>
    <row r="435" spans="1:10" hidden="1" x14ac:dyDescent="0.35">
      <c r="A435" s="7">
        <f>ROW()-ROW(BARANGKELUAR!$A$3)</f>
        <v>432</v>
      </c>
      <c r="B435" s="7" t="s">
        <v>1793</v>
      </c>
      <c r="C435" s="31">
        <v>46190</v>
      </c>
      <c r="D435" s="7" t="s">
        <v>460</v>
      </c>
      <c r="E435" s="34" t="s">
        <v>463</v>
      </c>
      <c r="F435" s="7" t="s">
        <v>30</v>
      </c>
      <c r="G435" s="7" t="s">
        <v>7</v>
      </c>
      <c r="H435" s="7">
        <v>1</v>
      </c>
      <c r="I435" s="7" t="s">
        <v>888</v>
      </c>
      <c r="J435" s="7" t="s">
        <v>800</v>
      </c>
    </row>
    <row r="436" spans="1:10" hidden="1" x14ac:dyDescent="0.35">
      <c r="A436" s="7">
        <f>ROW()-ROW(BARANGKELUAR!$A$3)</f>
        <v>433</v>
      </c>
      <c r="B436" s="7" t="s">
        <v>1794</v>
      </c>
      <c r="C436" s="31">
        <v>46190</v>
      </c>
      <c r="D436" s="7" t="s">
        <v>1693</v>
      </c>
      <c r="E436" s="34" t="s">
        <v>1695</v>
      </c>
      <c r="F436" s="7" t="s">
        <v>47</v>
      </c>
      <c r="G436" s="7" t="s">
        <v>7</v>
      </c>
      <c r="H436" s="7">
        <v>4</v>
      </c>
      <c r="I436" s="7" t="s">
        <v>888</v>
      </c>
      <c r="J436" s="7" t="s">
        <v>800</v>
      </c>
    </row>
    <row r="437" spans="1:10" hidden="1" x14ac:dyDescent="0.35">
      <c r="A437" s="7">
        <f>ROW()-ROW(BARANGKELUAR!$A$3)</f>
        <v>434</v>
      </c>
      <c r="B437" s="7" t="s">
        <v>1795</v>
      </c>
      <c r="C437" s="31">
        <v>46190</v>
      </c>
      <c r="D437" s="7" t="s">
        <v>198</v>
      </c>
      <c r="E437" s="34" t="s">
        <v>199</v>
      </c>
      <c r="F437" s="7" t="s">
        <v>106</v>
      </c>
      <c r="G437" s="7" t="s">
        <v>7</v>
      </c>
      <c r="H437" s="7">
        <v>1</v>
      </c>
      <c r="I437" s="7" t="s">
        <v>888</v>
      </c>
      <c r="J437" s="7" t="s">
        <v>800</v>
      </c>
    </row>
    <row r="438" spans="1:10" hidden="1" x14ac:dyDescent="0.35">
      <c r="A438" s="7">
        <f>ROW()-ROW(BARANGKELUAR!$A$3)</f>
        <v>435</v>
      </c>
      <c r="B438" s="7" t="s">
        <v>1796</v>
      </c>
      <c r="C438" s="31">
        <v>46195</v>
      </c>
      <c r="D438" s="7" t="s">
        <v>394</v>
      </c>
      <c r="E438" s="34" t="s">
        <v>395</v>
      </c>
      <c r="F438" s="7" t="s">
        <v>106</v>
      </c>
      <c r="G438" s="7" t="s">
        <v>7</v>
      </c>
      <c r="H438" s="7">
        <v>13</v>
      </c>
      <c r="I438" s="7" t="s">
        <v>888</v>
      </c>
      <c r="J438" s="7" t="s">
        <v>800</v>
      </c>
    </row>
    <row r="439" spans="1:10" hidden="1" x14ac:dyDescent="0.35">
      <c r="A439" s="7">
        <f>ROW()-ROW(BARANGKELUAR!$A$3)</f>
        <v>436</v>
      </c>
      <c r="B439" s="7" t="s">
        <v>1798</v>
      </c>
      <c r="C439" s="31">
        <v>46188</v>
      </c>
      <c r="D439" s="7" t="s">
        <v>25</v>
      </c>
      <c r="E439" s="34" t="s">
        <v>50</v>
      </c>
      <c r="F439" s="7" t="s">
        <v>27</v>
      </c>
      <c r="G439" s="7" t="s">
        <v>7</v>
      </c>
      <c r="H439" s="7">
        <v>5</v>
      </c>
      <c r="I439" s="7" t="s">
        <v>888</v>
      </c>
      <c r="J439" s="7" t="s">
        <v>800</v>
      </c>
    </row>
    <row r="440" spans="1:10" hidden="1" x14ac:dyDescent="0.35">
      <c r="A440" s="7">
        <f>ROW()-ROW(BARANGKELUAR!$A$3)</f>
        <v>437</v>
      </c>
      <c r="B440" s="7" t="s">
        <v>1799</v>
      </c>
      <c r="C440" s="31">
        <v>46191</v>
      </c>
      <c r="D440" s="7" t="s">
        <v>25</v>
      </c>
      <c r="E440" s="34" t="s">
        <v>50</v>
      </c>
      <c r="F440" s="7" t="s">
        <v>27</v>
      </c>
      <c r="G440" s="7" t="s">
        <v>7</v>
      </c>
      <c r="H440" s="7">
        <v>5</v>
      </c>
      <c r="I440" s="7" t="s">
        <v>888</v>
      </c>
      <c r="J440" s="7" t="s">
        <v>800</v>
      </c>
    </row>
    <row r="441" spans="1:10" hidden="1" x14ac:dyDescent="0.35">
      <c r="A441" s="7">
        <f>ROW()-ROW(BARANGKELUAR!$A$3)</f>
        <v>438</v>
      </c>
      <c r="B441" s="7" t="s">
        <v>1800</v>
      </c>
      <c r="C441" s="31">
        <v>46195</v>
      </c>
      <c r="D441" s="7" t="s">
        <v>25</v>
      </c>
      <c r="E441" s="34" t="s">
        <v>50</v>
      </c>
      <c r="F441" s="7" t="s">
        <v>27</v>
      </c>
      <c r="G441" s="7" t="s">
        <v>7</v>
      </c>
      <c r="H441" s="7">
        <v>5</v>
      </c>
      <c r="I441" s="7" t="s">
        <v>888</v>
      </c>
      <c r="J441" s="7" t="s">
        <v>800</v>
      </c>
    </row>
    <row r="442" spans="1:10" hidden="1" x14ac:dyDescent="0.35">
      <c r="A442" s="7">
        <f>ROW()-ROW(BARANGKELUAR!$A$3)</f>
        <v>439</v>
      </c>
      <c r="B442" s="7" t="s">
        <v>1801</v>
      </c>
      <c r="C442" s="31">
        <v>46198</v>
      </c>
      <c r="D442" s="7" t="s">
        <v>25</v>
      </c>
      <c r="E442" s="34" t="s">
        <v>50</v>
      </c>
      <c r="F442" s="7" t="s">
        <v>27</v>
      </c>
      <c r="G442" s="7" t="s">
        <v>7</v>
      </c>
      <c r="H442" s="7">
        <v>5</v>
      </c>
      <c r="I442" s="7" t="s">
        <v>888</v>
      </c>
      <c r="J442" s="7" t="s">
        <v>800</v>
      </c>
    </row>
    <row r="443" spans="1:10" hidden="1" x14ac:dyDescent="0.35">
      <c r="A443" s="7">
        <f>ROW()-ROW(BARANGKELUAR!$A$3)</f>
        <v>440</v>
      </c>
      <c r="B443" s="7" t="s">
        <v>1802</v>
      </c>
      <c r="C443" s="31">
        <v>46202</v>
      </c>
      <c r="D443" s="7" t="s">
        <v>25</v>
      </c>
      <c r="E443" s="34" t="s">
        <v>50</v>
      </c>
      <c r="F443" s="7" t="s">
        <v>27</v>
      </c>
      <c r="G443" s="7" t="s">
        <v>7</v>
      </c>
      <c r="H443" s="7">
        <v>4</v>
      </c>
      <c r="I443" s="7" t="s">
        <v>888</v>
      </c>
      <c r="J443" s="7" t="s">
        <v>800</v>
      </c>
    </row>
    <row r="444" spans="1:10" hidden="1" x14ac:dyDescent="0.35">
      <c r="A444" s="7">
        <f>ROW()-ROW(BARANGKELUAR!$A$3)</f>
        <v>441</v>
      </c>
      <c r="B444" s="7" t="s">
        <v>1818</v>
      </c>
      <c r="C444" s="31">
        <v>46210</v>
      </c>
      <c r="D444" s="7" t="s">
        <v>444</v>
      </c>
      <c r="E444" s="34" t="s">
        <v>1328</v>
      </c>
      <c r="F444" s="7" t="s">
        <v>106</v>
      </c>
      <c r="G444" s="7" t="s">
        <v>7</v>
      </c>
      <c r="H444" s="7">
        <v>1</v>
      </c>
      <c r="I444" s="7" t="s">
        <v>883</v>
      </c>
      <c r="J444" s="7" t="s">
        <v>806</v>
      </c>
    </row>
    <row r="445" spans="1:10" hidden="1" x14ac:dyDescent="0.35">
      <c r="A445" s="7">
        <f>ROW()-ROW(BARANGKELUAR!$A$3)</f>
        <v>442</v>
      </c>
      <c r="B445" s="7" t="s">
        <v>1819</v>
      </c>
      <c r="C445" s="31">
        <v>46211</v>
      </c>
      <c r="D445" s="7" t="s">
        <v>25</v>
      </c>
      <c r="E445" s="34" t="s">
        <v>50</v>
      </c>
      <c r="F445" s="7" t="s">
        <v>27</v>
      </c>
      <c r="G445" s="7" t="s">
        <v>7</v>
      </c>
      <c r="H445" s="7">
        <v>1</v>
      </c>
      <c r="I445" s="7" t="s">
        <v>837</v>
      </c>
      <c r="J445" s="7" t="s">
        <v>828</v>
      </c>
    </row>
    <row r="446" spans="1:10" hidden="1" x14ac:dyDescent="0.35">
      <c r="A446" s="7">
        <f>ROW()-ROW(BARANGKELUAR!$A$3)</f>
        <v>443</v>
      </c>
      <c r="B446" s="7" t="s">
        <v>1820</v>
      </c>
      <c r="C446" s="31">
        <v>46211</v>
      </c>
      <c r="D446" s="7" t="s">
        <v>1413</v>
      </c>
      <c r="E446" s="34" t="s">
        <v>1414</v>
      </c>
      <c r="F446" s="7" t="s">
        <v>30</v>
      </c>
      <c r="G446" s="7" t="s">
        <v>7</v>
      </c>
      <c r="H446" s="7">
        <v>1</v>
      </c>
      <c r="I446" s="7" t="s">
        <v>837</v>
      </c>
      <c r="J446" s="7" t="s">
        <v>828</v>
      </c>
    </row>
    <row r="447" spans="1:10" hidden="1" x14ac:dyDescent="0.35">
      <c r="A447" s="7">
        <f>ROW()-ROW(BARANGKELUAR!$A$3)</f>
        <v>444</v>
      </c>
      <c r="B447" s="7" t="s">
        <v>1821</v>
      </c>
      <c r="C447" s="31">
        <v>46212</v>
      </c>
      <c r="D447" s="7" t="s">
        <v>52</v>
      </c>
      <c r="E447" s="34" t="s">
        <v>53</v>
      </c>
      <c r="F447" s="7" t="s">
        <v>35</v>
      </c>
      <c r="G447" s="7" t="s">
        <v>7</v>
      </c>
      <c r="H447" s="7">
        <v>1</v>
      </c>
      <c r="I447" s="7" t="s">
        <v>834</v>
      </c>
      <c r="J447" s="7" t="s">
        <v>835</v>
      </c>
    </row>
    <row r="448" spans="1:10" hidden="1" x14ac:dyDescent="0.35">
      <c r="A448" s="7">
        <f>ROW()-ROW(BARANGKELUAR!$A$3)</f>
        <v>445</v>
      </c>
      <c r="B448" s="7" t="s">
        <v>1822</v>
      </c>
      <c r="C448" s="31">
        <v>46212</v>
      </c>
      <c r="D448" s="7" t="s">
        <v>54</v>
      </c>
      <c r="E448" s="34" t="s">
        <v>55</v>
      </c>
      <c r="F448" s="7" t="s">
        <v>35</v>
      </c>
      <c r="G448" s="7" t="s">
        <v>7</v>
      </c>
      <c r="H448" s="7">
        <v>1</v>
      </c>
      <c r="I448" s="7" t="s">
        <v>834</v>
      </c>
      <c r="J448" s="7" t="s">
        <v>835</v>
      </c>
    </row>
    <row r="449" spans="1:10" hidden="1" x14ac:dyDescent="0.35">
      <c r="A449" s="7">
        <f>ROW()-ROW(BARANGKELUAR!$A$3)</f>
        <v>446</v>
      </c>
      <c r="B449" s="7" t="s">
        <v>1823</v>
      </c>
      <c r="C449" s="31">
        <v>46212</v>
      </c>
      <c r="D449" s="7" t="s">
        <v>56</v>
      </c>
      <c r="E449" s="34" t="s">
        <v>57</v>
      </c>
      <c r="F449" s="7" t="s">
        <v>35</v>
      </c>
      <c r="G449" s="7" t="s">
        <v>7</v>
      </c>
      <c r="H449" s="7">
        <v>1</v>
      </c>
      <c r="I449" s="7" t="s">
        <v>834</v>
      </c>
      <c r="J449" s="7" t="s">
        <v>835</v>
      </c>
    </row>
    <row r="450" spans="1:10" hidden="1" x14ac:dyDescent="0.35">
      <c r="A450" s="7">
        <f>ROW()-ROW(BARANGKELUAR!$A$3)</f>
        <v>447</v>
      </c>
      <c r="B450" s="7" t="s">
        <v>1824</v>
      </c>
      <c r="C450" s="31">
        <v>46212</v>
      </c>
      <c r="D450" s="7" t="s">
        <v>25</v>
      </c>
      <c r="E450" s="34" t="s">
        <v>50</v>
      </c>
      <c r="F450" s="7" t="s">
        <v>27</v>
      </c>
      <c r="G450" s="7" t="s">
        <v>7</v>
      </c>
      <c r="H450" s="7">
        <v>2</v>
      </c>
      <c r="I450" s="7" t="s">
        <v>811</v>
      </c>
      <c r="J450" s="7" t="s">
        <v>803</v>
      </c>
    </row>
    <row r="451" spans="1:10" hidden="1" x14ac:dyDescent="0.35">
      <c r="A451" s="7">
        <f>ROW()-ROW(BARANGKELUAR!$A$3)</f>
        <v>448</v>
      </c>
      <c r="B451" s="7" t="s">
        <v>1825</v>
      </c>
      <c r="C451" s="31">
        <v>46212</v>
      </c>
      <c r="D451" s="7" t="s">
        <v>1112</v>
      </c>
      <c r="E451" s="34" t="s">
        <v>1113</v>
      </c>
      <c r="F451" s="7" t="s">
        <v>30</v>
      </c>
      <c r="G451" s="7" t="s">
        <v>7</v>
      </c>
      <c r="H451" s="7">
        <v>1</v>
      </c>
      <c r="I451" s="7" t="s">
        <v>837</v>
      </c>
      <c r="J451" s="7" t="s">
        <v>828</v>
      </c>
    </row>
    <row r="452" spans="1:10" hidden="1" x14ac:dyDescent="0.35">
      <c r="A452" s="7">
        <f>ROW()-ROW(BARANGKELUAR!$A$3)</f>
        <v>449</v>
      </c>
      <c r="B452" s="7" t="s">
        <v>1826</v>
      </c>
      <c r="C452" s="31">
        <v>46212</v>
      </c>
      <c r="D452" s="7" t="s">
        <v>665</v>
      </c>
      <c r="E452" s="34" t="s">
        <v>666</v>
      </c>
      <c r="F452" s="7" t="s">
        <v>41</v>
      </c>
      <c r="G452" s="7" t="s">
        <v>7</v>
      </c>
      <c r="H452" s="7">
        <v>1</v>
      </c>
      <c r="I452" s="7" t="s">
        <v>827</v>
      </c>
      <c r="J452" s="7" t="s">
        <v>828</v>
      </c>
    </row>
    <row r="453" spans="1:10" hidden="1" x14ac:dyDescent="0.35">
      <c r="A453" s="7">
        <f>ROW()-ROW(BARANGKELUAR!$A$3)</f>
        <v>450</v>
      </c>
      <c r="B453" s="7" t="s">
        <v>1827</v>
      </c>
      <c r="C453" s="31">
        <v>46213</v>
      </c>
      <c r="D453" s="7" t="s">
        <v>398</v>
      </c>
      <c r="E453" s="34" t="s">
        <v>399</v>
      </c>
      <c r="F453" s="7" t="s">
        <v>30</v>
      </c>
      <c r="G453" s="7" t="s">
        <v>7</v>
      </c>
      <c r="H453" s="7">
        <v>2</v>
      </c>
      <c r="I453" s="7" t="s">
        <v>1146</v>
      </c>
      <c r="J453" s="7" t="s">
        <v>1147</v>
      </c>
    </row>
    <row r="454" spans="1:10" hidden="1" x14ac:dyDescent="0.35">
      <c r="A454" s="7">
        <f>ROW()-ROW(BARANGKELUAR!$A$3)</f>
        <v>451</v>
      </c>
      <c r="B454" s="7" t="s">
        <v>1828</v>
      </c>
      <c r="C454" s="31">
        <v>46216</v>
      </c>
      <c r="D454" s="7" t="s">
        <v>28</v>
      </c>
      <c r="E454" s="34" t="s">
        <v>51</v>
      </c>
      <c r="F454" s="7" t="s">
        <v>35</v>
      </c>
      <c r="G454" s="7" t="s">
        <v>7</v>
      </c>
      <c r="H454" s="7">
        <v>1</v>
      </c>
      <c r="I454" s="7" t="s">
        <v>822</v>
      </c>
      <c r="J454" s="7" t="s">
        <v>818</v>
      </c>
    </row>
    <row r="455" spans="1:10" hidden="1" x14ac:dyDescent="0.35">
      <c r="A455" s="7">
        <f>ROW()-ROW(BARANGKELUAR!$A$3)</f>
        <v>452</v>
      </c>
      <c r="B455" s="7" t="s">
        <v>1829</v>
      </c>
      <c r="C455" s="31">
        <v>46216</v>
      </c>
      <c r="D455" s="7" t="s">
        <v>54</v>
      </c>
      <c r="E455" s="34" t="s">
        <v>55</v>
      </c>
      <c r="F455" s="7" t="s">
        <v>35</v>
      </c>
      <c r="G455" s="7" t="s">
        <v>7</v>
      </c>
      <c r="H455" s="7">
        <v>1</v>
      </c>
      <c r="I455" s="7" t="s">
        <v>822</v>
      </c>
      <c r="J455" s="7" t="s">
        <v>818</v>
      </c>
    </row>
    <row r="456" spans="1:10" hidden="1" x14ac:dyDescent="0.35">
      <c r="A456" s="7">
        <f>ROW()-ROW(BARANGKELUAR!$A$3)</f>
        <v>453</v>
      </c>
      <c r="B456" s="7" t="s">
        <v>1830</v>
      </c>
      <c r="C456" s="31">
        <v>46217</v>
      </c>
      <c r="D456" s="7" t="s">
        <v>56</v>
      </c>
      <c r="E456" s="34" t="s">
        <v>57</v>
      </c>
      <c r="F456" s="7" t="s">
        <v>35</v>
      </c>
      <c r="G456" s="7" t="s">
        <v>7</v>
      </c>
      <c r="H456" s="7">
        <v>1</v>
      </c>
      <c r="I456" s="7" t="s">
        <v>834</v>
      </c>
      <c r="J456" s="7" t="s">
        <v>835</v>
      </c>
    </row>
    <row r="457" spans="1:10" hidden="1" x14ac:dyDescent="0.35">
      <c r="A457" s="7">
        <f>ROW()-ROW(BARANGKELUAR!$A$3)</f>
        <v>454</v>
      </c>
      <c r="B457" s="7" t="s">
        <v>1831</v>
      </c>
      <c r="C457" s="31">
        <v>46217</v>
      </c>
      <c r="D457" s="7" t="s">
        <v>25</v>
      </c>
      <c r="E457" s="34" t="s">
        <v>50</v>
      </c>
      <c r="F457" s="7" t="s">
        <v>27</v>
      </c>
      <c r="G457" s="7" t="s">
        <v>7</v>
      </c>
      <c r="H457" s="7">
        <v>1</v>
      </c>
      <c r="I457" s="7" t="s">
        <v>820</v>
      </c>
      <c r="J457" s="7" t="s">
        <v>800</v>
      </c>
    </row>
    <row r="458" spans="1:10" hidden="1" x14ac:dyDescent="0.35">
      <c r="A458" s="7">
        <f>ROW()-ROW(BARANGKELUAR!$A$3)</f>
        <v>455</v>
      </c>
      <c r="B458" s="7" t="s">
        <v>1832</v>
      </c>
      <c r="C458" s="31">
        <v>46218</v>
      </c>
      <c r="D458" s="7" t="s">
        <v>1112</v>
      </c>
      <c r="E458" s="34" t="s">
        <v>1113</v>
      </c>
      <c r="F458" s="7" t="s">
        <v>30</v>
      </c>
      <c r="G458" s="7" t="s">
        <v>7</v>
      </c>
      <c r="H458" s="7">
        <v>1</v>
      </c>
      <c r="I458" s="7" t="s">
        <v>805</v>
      </c>
      <c r="J458" s="7" t="s">
        <v>806</v>
      </c>
    </row>
    <row r="459" spans="1:10" hidden="1" x14ac:dyDescent="0.35">
      <c r="A459" s="7">
        <f>ROW()-ROW(BARANGKELUAR!$A$3)</f>
        <v>456</v>
      </c>
      <c r="B459" s="7" t="s">
        <v>1833</v>
      </c>
      <c r="C459" s="31">
        <v>46218</v>
      </c>
      <c r="D459" s="7" t="s">
        <v>1320</v>
      </c>
      <c r="E459" s="34" t="s">
        <v>1321</v>
      </c>
      <c r="F459" s="7" t="s">
        <v>30</v>
      </c>
      <c r="G459" s="7" t="s">
        <v>7</v>
      </c>
      <c r="H459" s="7">
        <v>1</v>
      </c>
      <c r="I459" s="7" t="s">
        <v>805</v>
      </c>
      <c r="J459" s="7" t="s">
        <v>806</v>
      </c>
    </row>
    <row r="460" spans="1:10" hidden="1" x14ac:dyDescent="0.35">
      <c r="A460" s="7">
        <f>ROW()-ROW(BARANGKELUAR!$A$3)</f>
        <v>457</v>
      </c>
      <c r="B460" s="7" t="s">
        <v>1834</v>
      </c>
      <c r="C460" s="31">
        <v>46218</v>
      </c>
      <c r="D460" s="7" t="s">
        <v>630</v>
      </c>
      <c r="E460" s="34" t="s">
        <v>631</v>
      </c>
      <c r="F460" s="7" t="s">
        <v>41</v>
      </c>
      <c r="G460" s="7" t="s">
        <v>7</v>
      </c>
      <c r="H460" s="7">
        <v>1</v>
      </c>
      <c r="I460" s="7" t="s">
        <v>805</v>
      </c>
      <c r="J460" s="7" t="s">
        <v>806</v>
      </c>
    </row>
    <row r="461" spans="1:10" hidden="1" x14ac:dyDescent="0.35">
      <c r="A461" s="7">
        <f>ROW()-ROW(BARANGKELUAR!$A$3)</f>
        <v>458</v>
      </c>
      <c r="B461" s="7" t="s">
        <v>1835</v>
      </c>
      <c r="C461" s="31">
        <v>46230</v>
      </c>
      <c r="D461" s="7" t="s">
        <v>1041</v>
      </c>
      <c r="E461" s="34" t="s">
        <v>1042</v>
      </c>
      <c r="F461" s="7" t="s">
        <v>27</v>
      </c>
      <c r="G461" s="7" t="s">
        <v>7</v>
      </c>
      <c r="H461" s="7">
        <v>1</v>
      </c>
      <c r="I461" s="7" t="s">
        <v>834</v>
      </c>
      <c r="J461" s="7" t="s">
        <v>835</v>
      </c>
    </row>
    <row r="462" spans="1:10" hidden="1" x14ac:dyDescent="0.35">
      <c r="A462" s="7">
        <f>ROW()-ROW(BARANGKELUAR!$A$3)</f>
        <v>459</v>
      </c>
      <c r="B462" s="7" t="s">
        <v>1836</v>
      </c>
      <c r="C462" s="31">
        <v>46231</v>
      </c>
      <c r="D462" s="7" t="s">
        <v>25</v>
      </c>
      <c r="E462" s="34" t="s">
        <v>50</v>
      </c>
      <c r="F462" s="7" t="s">
        <v>27</v>
      </c>
      <c r="G462" s="7" t="s">
        <v>7</v>
      </c>
      <c r="H462" s="7">
        <v>1</v>
      </c>
      <c r="I462" s="7" t="s">
        <v>805</v>
      </c>
      <c r="J462" s="7" t="s">
        <v>806</v>
      </c>
    </row>
    <row r="463" spans="1:10" hidden="1" x14ac:dyDescent="0.35">
      <c r="A463" s="7">
        <f>ROW()-ROW(BARANGKELUAR!$A$3)</f>
        <v>460</v>
      </c>
      <c r="B463" s="7" t="s">
        <v>1837</v>
      </c>
      <c r="C463" s="31">
        <v>46220</v>
      </c>
      <c r="D463" s="7" t="s">
        <v>1751</v>
      </c>
      <c r="E463" s="34" t="s">
        <v>1752</v>
      </c>
      <c r="F463" s="7" t="s">
        <v>304</v>
      </c>
      <c r="G463" s="7" t="s">
        <v>7</v>
      </c>
      <c r="H463" s="7">
        <v>1</v>
      </c>
      <c r="I463" s="7" t="s">
        <v>802</v>
      </c>
      <c r="J463" s="7" t="s">
        <v>803</v>
      </c>
    </row>
    <row r="464" spans="1:10" hidden="1" x14ac:dyDescent="0.35">
      <c r="A464" s="7">
        <f>ROW()-ROW(BARANGKELUAR!$A$3)</f>
        <v>461</v>
      </c>
      <c r="B464" s="7" t="s">
        <v>1838</v>
      </c>
      <c r="C464" s="31">
        <v>46220</v>
      </c>
      <c r="D464" s="7" t="s">
        <v>48</v>
      </c>
      <c r="E464" s="34" t="s">
        <v>49</v>
      </c>
      <c r="F464" s="7" t="s">
        <v>27</v>
      </c>
      <c r="G464" s="7" t="s">
        <v>7</v>
      </c>
      <c r="H464" s="7">
        <v>1</v>
      </c>
      <c r="I464" s="7" t="s">
        <v>802</v>
      </c>
      <c r="J464" s="7" t="s">
        <v>803</v>
      </c>
    </row>
    <row r="465" spans="1:10" hidden="1" x14ac:dyDescent="0.35">
      <c r="A465" s="7">
        <f>ROW()-ROW(BARANGKELUAR!$A$3)</f>
        <v>462</v>
      </c>
      <c r="B465" s="7" t="s">
        <v>1839</v>
      </c>
      <c r="C465" s="31">
        <v>46220</v>
      </c>
      <c r="D465" s="7" t="s">
        <v>25</v>
      </c>
      <c r="E465" s="34" t="s">
        <v>50</v>
      </c>
      <c r="F465" s="7" t="s">
        <v>27</v>
      </c>
      <c r="G465" s="7" t="s">
        <v>7</v>
      </c>
      <c r="H465" s="7">
        <v>1</v>
      </c>
      <c r="I465" s="7" t="s">
        <v>817</v>
      </c>
      <c r="J465" s="7" t="s">
        <v>818</v>
      </c>
    </row>
    <row r="466" spans="1:10" hidden="1" x14ac:dyDescent="0.35">
      <c r="A466" s="7">
        <f>ROW()-ROW(BARANGKELUAR!$A$3)</f>
        <v>463</v>
      </c>
      <c r="B466" s="7" t="s">
        <v>1840</v>
      </c>
      <c r="C466" s="31">
        <v>46224</v>
      </c>
      <c r="D466" s="7" t="s">
        <v>25</v>
      </c>
      <c r="E466" s="34" t="s">
        <v>50</v>
      </c>
      <c r="F466" s="7" t="s">
        <v>27</v>
      </c>
      <c r="G466" s="7" t="s">
        <v>7</v>
      </c>
      <c r="H466" s="7">
        <v>1</v>
      </c>
      <c r="I466" s="7" t="s">
        <v>891</v>
      </c>
      <c r="J466" s="7" t="s">
        <v>806</v>
      </c>
    </row>
    <row r="467" spans="1:10" hidden="1" x14ac:dyDescent="0.35">
      <c r="A467" s="7">
        <f>ROW()-ROW(BARANGKELUAR!$A$3)</f>
        <v>464</v>
      </c>
      <c r="B467" s="7" t="s">
        <v>1841</v>
      </c>
      <c r="C467" s="31">
        <v>46223</v>
      </c>
      <c r="D467" s="7" t="s">
        <v>95</v>
      </c>
      <c r="E467" s="34" t="s">
        <v>96</v>
      </c>
      <c r="F467" s="7" t="s">
        <v>30</v>
      </c>
      <c r="G467" s="7" t="s">
        <v>7</v>
      </c>
      <c r="H467" s="7">
        <v>1</v>
      </c>
      <c r="I467" s="7" t="s">
        <v>812</v>
      </c>
      <c r="J467" s="7" t="s">
        <v>806</v>
      </c>
    </row>
    <row r="468" spans="1:10" hidden="1" x14ac:dyDescent="0.35">
      <c r="A468" s="7">
        <f>ROW()-ROW(BARANGKELUAR!$A$3)</f>
        <v>465</v>
      </c>
      <c r="B468" s="7" t="s">
        <v>1842</v>
      </c>
      <c r="C468" s="31">
        <v>46224</v>
      </c>
      <c r="D468" s="7" t="s">
        <v>308</v>
      </c>
      <c r="E468" s="34" t="s">
        <v>309</v>
      </c>
      <c r="F468" s="7" t="s">
        <v>35</v>
      </c>
      <c r="G468" s="7" t="s">
        <v>7</v>
      </c>
      <c r="H468" s="7">
        <v>1</v>
      </c>
      <c r="I468" s="7" t="s">
        <v>900</v>
      </c>
      <c r="J468" s="7" t="s">
        <v>800</v>
      </c>
    </row>
    <row r="469" spans="1:10" hidden="1" x14ac:dyDescent="0.35">
      <c r="A469" s="7">
        <f>ROW()-ROW(BARANGKELUAR!$A$3)</f>
        <v>466</v>
      </c>
      <c r="B469" s="7" t="s">
        <v>1843</v>
      </c>
      <c r="C469" s="31">
        <v>46224</v>
      </c>
      <c r="D469" s="7" t="s">
        <v>963</v>
      </c>
      <c r="E469" s="34" t="s">
        <v>964</v>
      </c>
      <c r="F469" s="7" t="s">
        <v>304</v>
      </c>
      <c r="G469" s="7" t="s">
        <v>7</v>
      </c>
      <c r="H469" s="7">
        <v>1</v>
      </c>
      <c r="I469" s="7" t="s">
        <v>837</v>
      </c>
      <c r="J469" s="7" t="s">
        <v>828</v>
      </c>
    </row>
    <row r="470" spans="1:10" hidden="1" x14ac:dyDescent="0.35">
      <c r="A470" s="7">
        <f>ROW()-ROW(BARANGKELUAR!$A$3)</f>
        <v>467</v>
      </c>
      <c r="B470" s="7" t="s">
        <v>1844</v>
      </c>
      <c r="C470" s="31">
        <v>46226</v>
      </c>
      <c r="D470" s="7" t="s">
        <v>25</v>
      </c>
      <c r="E470" s="34" t="s">
        <v>50</v>
      </c>
      <c r="F470" s="7" t="s">
        <v>27</v>
      </c>
      <c r="G470" s="7" t="s">
        <v>7</v>
      </c>
      <c r="H470" s="7">
        <v>1</v>
      </c>
      <c r="I470" s="7" t="s">
        <v>900</v>
      </c>
      <c r="J470" s="7" t="s">
        <v>800</v>
      </c>
    </row>
    <row r="471" spans="1:10" hidden="1" x14ac:dyDescent="0.35">
      <c r="A471" s="7">
        <f>ROW()-ROW(BARANGKELUAR!$A$3)</f>
        <v>468</v>
      </c>
      <c r="B471" s="7" t="s">
        <v>1845</v>
      </c>
      <c r="C471" s="31">
        <v>46226</v>
      </c>
      <c r="D471" s="7" t="s">
        <v>963</v>
      </c>
      <c r="E471" s="34" t="s">
        <v>964</v>
      </c>
      <c r="F471" s="7" t="s">
        <v>304</v>
      </c>
      <c r="G471" s="7" t="s">
        <v>7</v>
      </c>
      <c r="H471" s="7">
        <v>1</v>
      </c>
      <c r="I471" s="7" t="s">
        <v>888</v>
      </c>
      <c r="J471" s="7" t="s">
        <v>800</v>
      </c>
    </row>
    <row r="472" spans="1:10" hidden="1" x14ac:dyDescent="0.35">
      <c r="A472" s="7">
        <f>ROW()-ROW(BARANGKELUAR!$A$3)</f>
        <v>469</v>
      </c>
      <c r="B472" s="7" t="s">
        <v>1846</v>
      </c>
      <c r="C472" s="31">
        <v>46226</v>
      </c>
      <c r="D472" s="7" t="s">
        <v>25</v>
      </c>
      <c r="E472" s="34" t="s">
        <v>50</v>
      </c>
      <c r="F472" s="7" t="s">
        <v>27</v>
      </c>
      <c r="G472" s="7" t="s">
        <v>7</v>
      </c>
      <c r="H472" s="7">
        <v>1</v>
      </c>
      <c r="I472" s="7" t="s">
        <v>812</v>
      </c>
      <c r="J472" s="7" t="s">
        <v>803</v>
      </c>
    </row>
    <row r="473" spans="1:10" hidden="1" x14ac:dyDescent="0.35">
      <c r="A473" s="7">
        <f>ROW()-ROW(BARANGKELUAR!$A$3)</f>
        <v>470</v>
      </c>
      <c r="B473" s="7" t="s">
        <v>1847</v>
      </c>
      <c r="C473" s="31">
        <v>46226</v>
      </c>
      <c r="D473" s="7" t="s">
        <v>1269</v>
      </c>
      <c r="E473" s="34" t="s">
        <v>1270</v>
      </c>
      <c r="F473" s="7" t="s">
        <v>106</v>
      </c>
      <c r="G473" s="7" t="s">
        <v>7</v>
      </c>
      <c r="H473" s="7">
        <v>1</v>
      </c>
      <c r="I473" s="7" t="s">
        <v>820</v>
      </c>
      <c r="J473" s="7" t="s">
        <v>800</v>
      </c>
    </row>
    <row r="474" spans="1:10" hidden="1" x14ac:dyDescent="0.35">
      <c r="A474" s="7">
        <f>ROW()-ROW(BARANGKELUAR!$A$3)</f>
        <v>471</v>
      </c>
      <c r="B474" s="7" t="s">
        <v>1848</v>
      </c>
      <c r="C474" s="31">
        <v>46227</v>
      </c>
      <c r="D474" s="7" t="s">
        <v>1338</v>
      </c>
      <c r="E474" s="34" t="s">
        <v>1339</v>
      </c>
      <c r="F474" s="7" t="s">
        <v>562</v>
      </c>
      <c r="G474" s="7" t="s">
        <v>7</v>
      </c>
      <c r="H474" s="7">
        <v>1</v>
      </c>
      <c r="I474" s="7" t="s">
        <v>811</v>
      </c>
      <c r="J474" s="7" t="s">
        <v>803</v>
      </c>
    </row>
    <row r="475" spans="1:10" hidden="1" x14ac:dyDescent="0.35">
      <c r="A475" s="7">
        <f>ROW()-ROW(BARANGKELUAR!$A$3)</f>
        <v>472</v>
      </c>
      <c r="B475" s="7" t="s">
        <v>1849</v>
      </c>
      <c r="C475" s="31">
        <v>46230</v>
      </c>
      <c r="D475" s="7" t="s">
        <v>556</v>
      </c>
      <c r="E475" s="34" t="s">
        <v>557</v>
      </c>
      <c r="F475" s="7" t="s">
        <v>106</v>
      </c>
      <c r="G475" s="7" t="s">
        <v>7</v>
      </c>
      <c r="H475" s="7">
        <v>1</v>
      </c>
      <c r="I475" s="7" t="s">
        <v>820</v>
      </c>
      <c r="J475" s="7" t="s">
        <v>800</v>
      </c>
    </row>
    <row r="476" spans="1:10" hidden="1" x14ac:dyDescent="0.35">
      <c r="A476" s="7">
        <f>ROW()-ROW(BARANGKELUAR!$A$3)</f>
        <v>473</v>
      </c>
      <c r="B476" s="7" t="s">
        <v>1850</v>
      </c>
      <c r="C476" s="31">
        <v>46231</v>
      </c>
      <c r="D476" s="7" t="s">
        <v>25</v>
      </c>
      <c r="E476" s="34" t="s">
        <v>50</v>
      </c>
      <c r="F476" s="7" t="s">
        <v>27</v>
      </c>
      <c r="G476" s="7" t="s">
        <v>7</v>
      </c>
      <c r="H476" s="7">
        <v>1</v>
      </c>
      <c r="I476" s="7" t="s">
        <v>820</v>
      </c>
      <c r="J476" s="7" t="s">
        <v>800</v>
      </c>
    </row>
    <row r="477" spans="1:10" x14ac:dyDescent="0.35">
      <c r="A477" s="7">
        <f>ROW()-ROW(BARANGKELUAR!$A$3)</f>
        <v>474</v>
      </c>
      <c r="B477" s="7" t="s">
        <v>1857</v>
      </c>
      <c r="C477" s="31">
        <v>46237</v>
      </c>
      <c r="D477" s="7" t="s">
        <v>25</v>
      </c>
      <c r="E477" s="34" t="s">
        <v>50</v>
      </c>
      <c r="F477" s="7" t="s">
        <v>27</v>
      </c>
      <c r="G477" s="7" t="s">
        <v>7</v>
      </c>
      <c r="H477" s="7">
        <v>1</v>
      </c>
      <c r="I477" s="7" t="s">
        <v>820</v>
      </c>
      <c r="J477" s="7" t="s">
        <v>800</v>
      </c>
    </row>
    <row r="478" spans="1:10" x14ac:dyDescent="0.35">
      <c r="A478" s="7">
        <f>ROW()-ROW(BARANGKELUAR!$A$3)</f>
        <v>475</v>
      </c>
      <c r="B478" s="7" t="s">
        <v>1858</v>
      </c>
      <c r="C478" s="31">
        <v>46237</v>
      </c>
      <c r="D478" s="7" t="s">
        <v>1112</v>
      </c>
      <c r="E478" s="34" t="s">
        <v>1113</v>
      </c>
      <c r="F478" s="7" t="s">
        <v>30</v>
      </c>
      <c r="G478" s="7" t="s">
        <v>7</v>
      </c>
      <c r="H478" s="7">
        <v>1</v>
      </c>
      <c r="I478" s="7" t="s">
        <v>820</v>
      </c>
      <c r="J478" s="7" t="s">
        <v>800</v>
      </c>
    </row>
    <row r="479" spans="1:10" x14ac:dyDescent="0.35">
      <c r="A479" s="7">
        <f>ROW()-ROW(BARANGKELUAR!$A$3)</f>
        <v>476</v>
      </c>
      <c r="B479" s="7" t="s">
        <v>1859</v>
      </c>
      <c r="C479" s="31">
        <v>46237</v>
      </c>
      <c r="D479" s="7" t="s">
        <v>398</v>
      </c>
      <c r="E479" s="34" t="s">
        <v>399</v>
      </c>
      <c r="F479" s="7" t="s">
        <v>30</v>
      </c>
      <c r="G479" s="7" t="s">
        <v>7</v>
      </c>
      <c r="H479" s="7">
        <v>2</v>
      </c>
      <c r="I479" s="7" t="s">
        <v>888</v>
      </c>
      <c r="J479" s="7" t="s">
        <v>800</v>
      </c>
    </row>
    <row r="480" spans="1:10" x14ac:dyDescent="0.35">
      <c r="A480" s="7">
        <f>ROW()-ROW(BARANGKELUAR!$A$3)</f>
        <v>477</v>
      </c>
      <c r="B480" s="7" t="s">
        <v>1860</v>
      </c>
      <c r="C480" s="31">
        <v>46238</v>
      </c>
      <c r="D480" s="7" t="s">
        <v>25</v>
      </c>
      <c r="E480" s="34" t="s">
        <v>50</v>
      </c>
      <c r="F480" s="7" t="s">
        <v>27</v>
      </c>
      <c r="G480" s="7" t="s">
        <v>7</v>
      </c>
      <c r="H480" s="7">
        <v>1</v>
      </c>
      <c r="I480" s="7" t="s">
        <v>822</v>
      </c>
      <c r="J480" s="7" t="s">
        <v>818</v>
      </c>
    </row>
    <row r="481" spans="1:10" x14ac:dyDescent="0.35">
      <c r="A481" s="7">
        <f>ROW()-ROW(BARANGKELUAR!$A$3)</f>
        <v>478</v>
      </c>
      <c r="B481" s="7" t="s">
        <v>1861</v>
      </c>
      <c r="C481" s="31">
        <v>46238</v>
      </c>
      <c r="D481" s="7" t="s">
        <v>92</v>
      </c>
      <c r="E481" s="34" t="s">
        <v>93</v>
      </c>
      <c r="F481" s="7" t="s">
        <v>106</v>
      </c>
      <c r="G481" s="7" t="s">
        <v>7</v>
      </c>
      <c r="H481" s="7">
        <v>1</v>
      </c>
      <c r="I481" s="7" t="s">
        <v>900</v>
      </c>
      <c r="J481" s="7" t="s">
        <v>800</v>
      </c>
    </row>
    <row r="482" spans="1:10" x14ac:dyDescent="0.35">
      <c r="A482" s="7">
        <f>ROW()-ROW(BARANGKELUAR!$A$3)</f>
        <v>479</v>
      </c>
      <c r="B482" s="7" t="s">
        <v>1862</v>
      </c>
      <c r="C482" s="31">
        <v>46238</v>
      </c>
      <c r="D482" s="7" t="s">
        <v>25</v>
      </c>
      <c r="E482" s="34" t="s">
        <v>50</v>
      </c>
      <c r="F482" s="7" t="s">
        <v>27</v>
      </c>
      <c r="G482" s="7" t="s">
        <v>7</v>
      </c>
      <c r="H482" s="7">
        <v>1</v>
      </c>
      <c r="I482" s="7" t="s">
        <v>837</v>
      </c>
      <c r="J482" s="7" t="s">
        <v>828</v>
      </c>
    </row>
    <row r="483" spans="1:10" x14ac:dyDescent="0.35">
      <c r="A483" s="7">
        <f>ROW()-ROW(BARANGKELUAR!$A$3)</f>
        <v>480</v>
      </c>
      <c r="B483" s="7" t="s">
        <v>1867</v>
      </c>
      <c r="C483" s="31">
        <v>46238</v>
      </c>
      <c r="D483" s="7" t="s">
        <v>25</v>
      </c>
      <c r="E483" s="34" t="s">
        <v>50</v>
      </c>
      <c r="F483" s="7" t="s">
        <v>27</v>
      </c>
      <c r="G483" s="7" t="s">
        <v>7</v>
      </c>
      <c r="H483" s="7">
        <v>1</v>
      </c>
      <c r="I483" s="7" t="s">
        <v>820</v>
      </c>
      <c r="J483" s="7" t="s">
        <v>800</v>
      </c>
    </row>
    <row r="484" spans="1:10" x14ac:dyDescent="0.35">
      <c r="A484" s="7">
        <f>ROW()-ROW(BARANGKELUAR!$A$3)</f>
        <v>481</v>
      </c>
      <c r="B484" s="7" t="s">
        <v>1868</v>
      </c>
      <c r="C484" s="31">
        <v>46244</v>
      </c>
      <c r="D484" s="7" t="s">
        <v>25</v>
      </c>
      <c r="E484" s="34" t="s">
        <v>50</v>
      </c>
      <c r="F484" s="7" t="s">
        <v>27</v>
      </c>
      <c r="G484" s="7" t="s">
        <v>7</v>
      </c>
      <c r="H484" s="7">
        <v>1</v>
      </c>
      <c r="I484" s="7" t="s">
        <v>888</v>
      </c>
      <c r="J484" s="7" t="s">
        <v>800</v>
      </c>
    </row>
    <row r="485" spans="1:10" x14ac:dyDescent="0.35">
      <c r="A485" s="7">
        <f>ROW()-ROW(BARANGKELUAR!$A$3)</f>
        <v>482</v>
      </c>
      <c r="B485" s="7" t="s">
        <v>1869</v>
      </c>
      <c r="C485" s="31">
        <v>46244</v>
      </c>
      <c r="D485" s="7" t="s">
        <v>25</v>
      </c>
      <c r="E485" s="34" t="s">
        <v>50</v>
      </c>
      <c r="F485" s="7" t="s">
        <v>27</v>
      </c>
      <c r="G485" s="7" t="s">
        <v>7</v>
      </c>
      <c r="H485" s="7">
        <v>1</v>
      </c>
      <c r="I485" s="7" t="s">
        <v>812</v>
      </c>
      <c r="J485" s="7" t="s">
        <v>803</v>
      </c>
    </row>
    <row r="486" spans="1:10" x14ac:dyDescent="0.35">
      <c r="A486" s="7">
        <f>ROW()-ROW(BARANGKELUAR!$A$3)</f>
        <v>483</v>
      </c>
      <c r="B486" s="7" t="s">
        <v>1870</v>
      </c>
      <c r="C486" s="31">
        <v>46244</v>
      </c>
      <c r="D486" s="7" t="s">
        <v>508</v>
      </c>
      <c r="E486" s="34" t="s">
        <v>509</v>
      </c>
      <c r="F486" s="7" t="s">
        <v>30</v>
      </c>
      <c r="G486" s="7" t="s">
        <v>7</v>
      </c>
      <c r="H486" s="7">
        <v>1</v>
      </c>
      <c r="I486" s="7" t="s">
        <v>834</v>
      </c>
      <c r="J486" s="7" t="s">
        <v>835</v>
      </c>
    </row>
    <row r="487" spans="1:10" hidden="1" x14ac:dyDescent="0.35">
      <c r="A487" s="7">
        <f>ROW()-ROW(BARANGKELUAR!$A$3)</f>
        <v>484</v>
      </c>
      <c r="B487" s="7" t="s">
        <v>1871</v>
      </c>
      <c r="C487" s="31">
        <v>46226</v>
      </c>
      <c r="D487" s="7" t="s">
        <v>1567</v>
      </c>
      <c r="E487" s="34" t="s">
        <v>1568</v>
      </c>
      <c r="F487" s="7" t="s">
        <v>30</v>
      </c>
      <c r="G487" s="7" t="s">
        <v>7</v>
      </c>
      <c r="H487" s="7">
        <v>32</v>
      </c>
      <c r="I487" s="7" t="s">
        <v>822</v>
      </c>
      <c r="J487" s="7" t="s">
        <v>818</v>
      </c>
    </row>
    <row r="488" spans="1:10" hidden="1" x14ac:dyDescent="0.35">
      <c r="A488" s="7">
        <f>ROW()-ROW(BARANGKELUAR!$A$3)</f>
        <v>485</v>
      </c>
      <c r="B488" s="7" t="s">
        <v>1872</v>
      </c>
      <c r="C488" s="31">
        <v>46226</v>
      </c>
      <c r="D488" s="7" t="s">
        <v>1569</v>
      </c>
      <c r="E488" s="34" t="s">
        <v>1570</v>
      </c>
      <c r="F488" s="7" t="s">
        <v>30</v>
      </c>
      <c r="G488" s="7" t="s">
        <v>7</v>
      </c>
      <c r="H488" s="7">
        <v>48</v>
      </c>
      <c r="I488" s="7" t="s">
        <v>822</v>
      </c>
      <c r="J488" s="7" t="s">
        <v>818</v>
      </c>
    </row>
    <row r="489" spans="1:10" hidden="1" x14ac:dyDescent="0.35">
      <c r="A489" s="7">
        <f>ROW()-ROW(BARANGKELUAR!$A$3)</f>
        <v>486</v>
      </c>
      <c r="B489" s="7" t="s">
        <v>1875</v>
      </c>
      <c r="C489" s="31">
        <v>46298</v>
      </c>
      <c r="D489" s="7" t="s">
        <v>25</v>
      </c>
      <c r="E489" s="34" t="s">
        <v>50</v>
      </c>
      <c r="F489" s="7" t="s">
        <v>27</v>
      </c>
      <c r="G489" s="7" t="s">
        <v>7</v>
      </c>
      <c r="H489" s="7">
        <v>1</v>
      </c>
      <c r="I489" s="7" t="s">
        <v>891</v>
      </c>
      <c r="J489" s="7" t="s">
        <v>806</v>
      </c>
    </row>
    <row r="490" spans="1:10" x14ac:dyDescent="0.35">
      <c r="C490" s="31"/>
    </row>
    <row r="491" spans="1:10" x14ac:dyDescent="0.35">
      <c r="C491" s="31"/>
    </row>
    <row r="492" spans="1:10" x14ac:dyDescent="0.35">
      <c r="C492" s="31"/>
    </row>
    <row r="493" spans="1:10" x14ac:dyDescent="0.35">
      <c r="C493" s="31"/>
    </row>
    <row r="494" spans="1:10" x14ac:dyDescent="0.35">
      <c r="C494" s="31"/>
    </row>
    <row r="495" spans="1:10" x14ac:dyDescent="0.35">
      <c r="C495" s="31"/>
    </row>
    <row r="496" spans="1:10" x14ac:dyDescent="0.35">
      <c r="C496" s="31"/>
    </row>
    <row r="497" spans="3:3" x14ac:dyDescent="0.35">
      <c r="C497" s="31"/>
    </row>
    <row r="498" spans="3:3" x14ac:dyDescent="0.35">
      <c r="C498" s="31"/>
    </row>
    <row r="499" spans="3:3" x14ac:dyDescent="0.35">
      <c r="C499" s="31"/>
    </row>
    <row r="500" spans="3:3" x14ac:dyDescent="0.35">
      <c r="C500" s="31"/>
    </row>
    <row r="501" spans="3:3" x14ac:dyDescent="0.35">
      <c r="C501" s="31"/>
    </row>
    <row r="502" spans="3:3" x14ac:dyDescent="0.35">
      <c r="C502" s="31"/>
    </row>
    <row r="503" spans="3:3" x14ac:dyDescent="0.35">
      <c r="C503" s="31"/>
    </row>
    <row r="504" spans="3:3" x14ac:dyDescent="0.35">
      <c r="C504" s="31"/>
    </row>
    <row r="505" spans="3:3" x14ac:dyDescent="0.35">
      <c r="C505" s="31"/>
    </row>
    <row r="506" spans="3:3" x14ac:dyDescent="0.35">
      <c r="C506" s="31"/>
    </row>
    <row r="507" spans="3:3" x14ac:dyDescent="0.35">
      <c r="C507" s="31"/>
    </row>
    <row r="508" spans="3:3" x14ac:dyDescent="0.35">
      <c r="C508" s="31"/>
    </row>
    <row r="509" spans="3:3" x14ac:dyDescent="0.35">
      <c r="C509" s="31"/>
    </row>
    <row r="510" spans="3:3" x14ac:dyDescent="0.35">
      <c r="C510" s="31"/>
    </row>
    <row r="511" spans="3:3" x14ac:dyDescent="0.35">
      <c r="C511" s="31"/>
    </row>
    <row r="512" spans="3:3" x14ac:dyDescent="0.35">
      <c r="C512" s="31"/>
    </row>
    <row r="513" spans="3:3" x14ac:dyDescent="0.35">
      <c r="C513" s="31"/>
    </row>
    <row r="514" spans="3:3" x14ac:dyDescent="0.35">
      <c r="C514" s="31"/>
    </row>
    <row r="515" spans="3:3" x14ac:dyDescent="0.35">
      <c r="C515" s="31"/>
    </row>
    <row r="516" spans="3:3" x14ac:dyDescent="0.35">
      <c r="C516" s="31"/>
    </row>
    <row r="517" spans="3:3" x14ac:dyDescent="0.35">
      <c r="C517" s="31"/>
    </row>
    <row r="518" spans="3:3" x14ac:dyDescent="0.35">
      <c r="C518" s="31"/>
    </row>
    <row r="519" spans="3:3" x14ac:dyDescent="0.35">
      <c r="C519" s="31"/>
    </row>
    <row r="520" spans="3:3" x14ac:dyDescent="0.35">
      <c r="C520" s="31"/>
    </row>
    <row r="521" spans="3:3" x14ac:dyDescent="0.35">
      <c r="C521" s="31"/>
    </row>
    <row r="522" spans="3:3" x14ac:dyDescent="0.35">
      <c r="C522" s="31"/>
    </row>
    <row r="523" spans="3:3" x14ac:dyDescent="0.35">
      <c r="C523" s="31"/>
    </row>
    <row r="524" spans="3:3" x14ac:dyDescent="0.35">
      <c r="C524" s="31"/>
    </row>
    <row r="525" spans="3:3" x14ac:dyDescent="0.35">
      <c r="C525" s="31"/>
    </row>
    <row r="526" spans="3:3" x14ac:dyDescent="0.35">
      <c r="C526" s="31"/>
    </row>
    <row r="527" spans="3:3" x14ac:dyDescent="0.35">
      <c r="C527" s="31"/>
    </row>
    <row r="528" spans="3:3" x14ac:dyDescent="0.35">
      <c r="C528" s="31"/>
    </row>
    <row r="529" spans="3:3" x14ac:dyDescent="0.35">
      <c r="C529" s="31"/>
    </row>
    <row r="530" spans="3:3" x14ac:dyDescent="0.35">
      <c r="C530" s="31"/>
    </row>
    <row r="531" spans="3:3" x14ac:dyDescent="0.35">
      <c r="C531" s="31"/>
    </row>
    <row r="532" spans="3:3" x14ac:dyDescent="0.35">
      <c r="C532" s="31"/>
    </row>
    <row r="533" spans="3:3" x14ac:dyDescent="0.35">
      <c r="C533" s="31"/>
    </row>
    <row r="534" spans="3:3" x14ac:dyDescent="0.35">
      <c r="C534" s="31"/>
    </row>
    <row r="535" spans="3:3" x14ac:dyDescent="0.35">
      <c r="C535" s="31"/>
    </row>
    <row r="536" spans="3:3" x14ac:dyDescent="0.35">
      <c r="C536" s="31"/>
    </row>
    <row r="537" spans="3:3" x14ac:dyDescent="0.35">
      <c r="C537" s="31"/>
    </row>
    <row r="538" spans="3:3" x14ac:dyDescent="0.35">
      <c r="C538" s="31"/>
    </row>
    <row r="539" spans="3:3" x14ac:dyDescent="0.35">
      <c r="C539" s="31"/>
    </row>
  </sheetData>
  <autoFilter ref="A3:K489" xr:uid="{00000000-0001-0000-0300-000000000000}">
    <filterColumn colId="2">
      <filters>
        <dateGroupItem year="2026" month="8" dateTimeGrouping="month"/>
      </filters>
    </filterColumn>
    <sortState xmlns:xlrd2="http://schemas.microsoft.com/office/spreadsheetml/2017/richdata2" ref="A371:K404">
      <sortCondition ref="C3:C404"/>
    </sortState>
  </autoFilter>
  <phoneticPr fontId="2" type="noConversion"/>
  <printOptions horizontalCentered="1"/>
  <pageMargins left="0.39370078740157483" right="0.39370078740157483" top="0.74803149606299213" bottom="0.74803149606299213" header="0.31496062992125984" footer="0.31496062992125984"/>
  <pageSetup paperSize="9" scale="71" orientation="portrait" horizontalDpi="4294967293" r:id="rId1"/>
  <colBreaks count="1" manualBreakCount="1">
    <brk id="1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284"/>
  <sheetViews>
    <sheetView showGridLines="0" workbookViewId="0">
      <selection activeCell="K31" sqref="K31"/>
    </sheetView>
  </sheetViews>
  <sheetFormatPr defaultRowHeight="14.5" x14ac:dyDescent="0.35"/>
  <cols>
    <col min="1" max="1" width="3.54296875" bestFit="1" customWidth="1"/>
    <col min="2" max="2" width="10.54296875" bestFit="1" customWidth="1"/>
    <col min="3" max="3" width="34" bestFit="1" customWidth="1"/>
    <col min="4" max="4" width="45.7265625" bestFit="1" customWidth="1"/>
    <col min="5" max="5" width="7.54296875" bestFit="1" customWidth="1"/>
    <col min="6" max="6" width="9.1796875" bestFit="1" customWidth="1"/>
    <col min="7" max="7" width="4.81640625" bestFit="1" customWidth="1"/>
    <col min="9" max="9" width="12.54296875" bestFit="1" customWidth="1"/>
  </cols>
  <sheetData>
    <row r="1" spans="1:9" x14ac:dyDescent="0.3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6</v>
      </c>
      <c r="G1" s="3" t="s">
        <v>5</v>
      </c>
      <c r="I1" t="s">
        <v>2</v>
      </c>
    </row>
    <row r="2" spans="1:9" x14ac:dyDescent="0.35">
      <c r="A2" s="1"/>
      <c r="G2" s="1"/>
      <c r="I2" t="s">
        <v>1441</v>
      </c>
    </row>
    <row r="3" spans="1:9" x14ac:dyDescent="0.35">
      <c r="A3" s="1"/>
      <c r="G3" s="1"/>
    </row>
    <row r="4" spans="1:9" x14ac:dyDescent="0.35">
      <c r="A4" s="1"/>
      <c r="G4" s="1"/>
    </row>
    <row r="5" spans="1:9" x14ac:dyDescent="0.35">
      <c r="A5" s="1"/>
      <c r="G5" s="1"/>
    </row>
    <row r="6" spans="1:9" x14ac:dyDescent="0.35">
      <c r="A6" s="1"/>
      <c r="G6" s="1"/>
    </row>
    <row r="7" spans="1:9" x14ac:dyDescent="0.35">
      <c r="A7" s="1"/>
      <c r="G7" s="1"/>
    </row>
    <row r="8" spans="1:9" x14ac:dyDescent="0.35">
      <c r="A8" s="1"/>
      <c r="G8" s="1"/>
    </row>
    <row r="9" spans="1:9" x14ac:dyDescent="0.35">
      <c r="A9" s="1"/>
      <c r="G9" s="1"/>
    </row>
    <row r="10" spans="1:9" x14ac:dyDescent="0.35">
      <c r="A10" s="1"/>
      <c r="G10" s="1"/>
    </row>
    <row r="11" spans="1:9" x14ac:dyDescent="0.35">
      <c r="A11" s="1"/>
      <c r="G11" s="1"/>
    </row>
    <row r="12" spans="1:9" x14ac:dyDescent="0.35">
      <c r="A12" s="1"/>
      <c r="G12" s="1"/>
    </row>
    <row r="13" spans="1:9" x14ac:dyDescent="0.35">
      <c r="A13" s="1"/>
      <c r="G13" s="1"/>
    </row>
    <row r="14" spans="1:9" x14ac:dyDescent="0.35">
      <c r="A14" s="1"/>
      <c r="G14" s="1"/>
    </row>
    <row r="15" spans="1:9" x14ac:dyDescent="0.35">
      <c r="A15" s="1"/>
      <c r="G15" s="1"/>
    </row>
    <row r="16" spans="1:9" x14ac:dyDescent="0.35">
      <c r="A16" s="1"/>
      <c r="G16" s="1"/>
    </row>
    <row r="17" spans="1:7" x14ac:dyDescent="0.35">
      <c r="A17" s="1"/>
      <c r="G17" s="1"/>
    </row>
    <row r="18" spans="1:7" x14ac:dyDescent="0.35">
      <c r="A18" s="1"/>
      <c r="G18" s="1"/>
    </row>
    <row r="19" spans="1:7" x14ac:dyDescent="0.35">
      <c r="A19" s="1"/>
      <c r="G19" s="1"/>
    </row>
    <row r="20" spans="1:7" x14ac:dyDescent="0.35">
      <c r="A20" s="1"/>
      <c r="G20" s="1"/>
    </row>
    <row r="21" spans="1:7" x14ac:dyDescent="0.35">
      <c r="A21" s="1"/>
      <c r="G21" s="1"/>
    </row>
    <row r="22" spans="1:7" x14ac:dyDescent="0.35">
      <c r="A22" s="1"/>
      <c r="G22" s="1"/>
    </row>
    <row r="23" spans="1:7" x14ac:dyDescent="0.35">
      <c r="A23" s="1"/>
      <c r="G23" s="1"/>
    </row>
    <row r="24" spans="1:7" x14ac:dyDescent="0.35">
      <c r="A24" s="1"/>
      <c r="G24" s="1"/>
    </row>
    <row r="25" spans="1:7" x14ac:dyDescent="0.35">
      <c r="A25" s="1"/>
      <c r="G25" s="1"/>
    </row>
    <row r="26" spans="1:7" x14ac:dyDescent="0.35">
      <c r="A26" s="1"/>
      <c r="G26" s="1"/>
    </row>
    <row r="27" spans="1:7" x14ac:dyDescent="0.35">
      <c r="A27" s="1"/>
      <c r="G27" s="1"/>
    </row>
    <row r="28" spans="1:7" x14ac:dyDescent="0.35">
      <c r="A28" s="1"/>
      <c r="G28" s="1"/>
    </row>
    <row r="29" spans="1:7" x14ac:dyDescent="0.35">
      <c r="A29" s="1"/>
      <c r="G29" s="1"/>
    </row>
    <row r="30" spans="1:7" x14ac:dyDescent="0.35">
      <c r="A30" s="1"/>
      <c r="G30" s="1"/>
    </row>
    <row r="31" spans="1:7" x14ac:dyDescent="0.35">
      <c r="A31" s="1"/>
      <c r="G31" s="1"/>
    </row>
    <row r="32" spans="1:7" x14ac:dyDescent="0.35">
      <c r="A32" s="1"/>
      <c r="G32" s="1"/>
    </row>
    <row r="33" spans="1:7" x14ac:dyDescent="0.35">
      <c r="A33" s="1"/>
      <c r="G33" s="1"/>
    </row>
    <row r="34" spans="1:7" x14ac:dyDescent="0.35">
      <c r="A34" s="1"/>
      <c r="G34" s="1"/>
    </row>
    <row r="35" spans="1:7" x14ac:dyDescent="0.35">
      <c r="A35" s="1"/>
      <c r="G35" s="1"/>
    </row>
    <row r="36" spans="1:7" x14ac:dyDescent="0.35">
      <c r="A36" s="1"/>
      <c r="G36" s="1"/>
    </row>
    <row r="37" spans="1:7" x14ac:dyDescent="0.35">
      <c r="A37" s="1"/>
      <c r="G37" s="1"/>
    </row>
    <row r="38" spans="1:7" x14ac:dyDescent="0.35">
      <c r="A38" s="1"/>
      <c r="G38" s="1"/>
    </row>
    <row r="39" spans="1:7" x14ac:dyDescent="0.35">
      <c r="A39" s="1"/>
      <c r="G39" s="1"/>
    </row>
    <row r="40" spans="1:7" x14ac:dyDescent="0.35">
      <c r="A40" s="1"/>
      <c r="G40" s="1"/>
    </row>
    <row r="41" spans="1:7" x14ac:dyDescent="0.35">
      <c r="A41" s="1"/>
      <c r="G41" s="1"/>
    </row>
    <row r="42" spans="1:7" x14ac:dyDescent="0.35">
      <c r="A42" s="1"/>
      <c r="G42" s="1"/>
    </row>
    <row r="43" spans="1:7" x14ac:dyDescent="0.35">
      <c r="A43" s="1"/>
      <c r="G43" s="1"/>
    </row>
    <row r="44" spans="1:7" x14ac:dyDescent="0.35">
      <c r="A44" s="1"/>
      <c r="G44" s="1"/>
    </row>
    <row r="45" spans="1:7" x14ac:dyDescent="0.35">
      <c r="A45" s="1"/>
      <c r="G45" s="1"/>
    </row>
    <row r="46" spans="1:7" x14ac:dyDescent="0.35">
      <c r="A46" s="1"/>
      <c r="G46" s="1"/>
    </row>
    <row r="47" spans="1:7" x14ac:dyDescent="0.35">
      <c r="A47" s="1"/>
      <c r="G47" s="1"/>
    </row>
    <row r="48" spans="1:7" x14ac:dyDescent="0.35">
      <c r="A48" s="1"/>
      <c r="G48" s="1"/>
    </row>
    <row r="49" spans="1:7" x14ac:dyDescent="0.35">
      <c r="A49" s="1"/>
      <c r="G49" s="1"/>
    </row>
    <row r="50" spans="1:7" x14ac:dyDescent="0.35">
      <c r="A50" s="1"/>
      <c r="G50" s="1"/>
    </row>
    <row r="51" spans="1:7" x14ac:dyDescent="0.35">
      <c r="A51" s="1"/>
      <c r="G51" s="1"/>
    </row>
    <row r="52" spans="1:7" x14ac:dyDescent="0.35">
      <c r="A52" s="1"/>
      <c r="G52" s="1"/>
    </row>
    <row r="53" spans="1:7" x14ac:dyDescent="0.35">
      <c r="A53" s="1"/>
      <c r="G53" s="1"/>
    </row>
    <row r="54" spans="1:7" x14ac:dyDescent="0.35">
      <c r="A54" s="1"/>
      <c r="G54" s="1"/>
    </row>
    <row r="55" spans="1:7" x14ac:dyDescent="0.35">
      <c r="A55" s="1"/>
      <c r="G55" s="1"/>
    </row>
    <row r="56" spans="1:7" x14ac:dyDescent="0.35">
      <c r="A56" s="1"/>
      <c r="G56" s="1"/>
    </row>
    <row r="57" spans="1:7" x14ac:dyDescent="0.35">
      <c r="A57" s="1"/>
      <c r="G57" s="1"/>
    </row>
    <row r="58" spans="1:7" x14ac:dyDescent="0.35">
      <c r="A58" s="1"/>
      <c r="G58" s="1"/>
    </row>
    <row r="59" spans="1:7" x14ac:dyDescent="0.35">
      <c r="A59" s="1"/>
      <c r="G59" s="1"/>
    </row>
    <row r="60" spans="1:7" x14ac:dyDescent="0.35">
      <c r="A60" s="1"/>
      <c r="G60" s="1"/>
    </row>
    <row r="61" spans="1:7" x14ac:dyDescent="0.35">
      <c r="A61" s="1"/>
      <c r="G61" s="1"/>
    </row>
    <row r="62" spans="1:7" x14ac:dyDescent="0.35">
      <c r="A62" s="1"/>
      <c r="G62" s="1"/>
    </row>
    <row r="63" spans="1:7" x14ac:dyDescent="0.35">
      <c r="A63" s="1"/>
      <c r="G63" s="1"/>
    </row>
    <row r="64" spans="1:7" x14ac:dyDescent="0.35">
      <c r="A64" s="1"/>
      <c r="G64" s="1"/>
    </row>
    <row r="65" spans="1:7" x14ac:dyDescent="0.35">
      <c r="A65" s="1"/>
      <c r="G65" s="1"/>
    </row>
    <row r="66" spans="1:7" x14ac:dyDescent="0.35">
      <c r="A66" s="1"/>
      <c r="G66" s="1"/>
    </row>
    <row r="67" spans="1:7" x14ac:dyDescent="0.35">
      <c r="A67" s="1"/>
      <c r="G67" s="1"/>
    </row>
    <row r="68" spans="1:7" x14ac:dyDescent="0.35">
      <c r="A68" s="1"/>
      <c r="G68" s="1"/>
    </row>
    <row r="69" spans="1:7" x14ac:dyDescent="0.35">
      <c r="A69" s="1"/>
      <c r="G69" s="1"/>
    </row>
    <row r="70" spans="1:7" x14ac:dyDescent="0.35">
      <c r="A70" s="1"/>
      <c r="G70" s="1"/>
    </row>
    <row r="71" spans="1:7" x14ac:dyDescent="0.35">
      <c r="A71" s="1"/>
      <c r="G71" s="1"/>
    </row>
    <row r="72" spans="1:7" x14ac:dyDescent="0.35">
      <c r="A72" s="1"/>
      <c r="G72" s="1"/>
    </row>
    <row r="73" spans="1:7" x14ac:dyDescent="0.35">
      <c r="A73" s="1"/>
      <c r="G73" s="1"/>
    </row>
    <row r="74" spans="1:7" x14ac:dyDescent="0.35">
      <c r="A74" s="1"/>
      <c r="G74" s="1"/>
    </row>
    <row r="75" spans="1:7" x14ac:dyDescent="0.35">
      <c r="A75" s="1"/>
      <c r="G75" s="1"/>
    </row>
    <row r="76" spans="1:7" x14ac:dyDescent="0.35">
      <c r="A76" s="1"/>
      <c r="G76" s="1"/>
    </row>
    <row r="77" spans="1:7" x14ac:dyDescent="0.35">
      <c r="A77" s="1"/>
      <c r="G77" s="1"/>
    </row>
    <row r="78" spans="1:7" x14ac:dyDescent="0.35">
      <c r="A78" s="1"/>
      <c r="G78" s="1"/>
    </row>
    <row r="79" spans="1:7" x14ac:dyDescent="0.35">
      <c r="A79" s="1"/>
      <c r="G79" s="1"/>
    </row>
    <row r="80" spans="1:7" x14ac:dyDescent="0.35">
      <c r="A80" s="1"/>
      <c r="G80" s="1"/>
    </row>
    <row r="81" spans="1:7" x14ac:dyDescent="0.35">
      <c r="A81" s="1"/>
      <c r="G81" s="1"/>
    </row>
    <row r="82" spans="1:7" x14ac:dyDescent="0.35">
      <c r="A82" s="1"/>
      <c r="G82" s="1"/>
    </row>
    <row r="83" spans="1:7" x14ac:dyDescent="0.35">
      <c r="A83" s="1"/>
      <c r="G83" s="1"/>
    </row>
    <row r="84" spans="1:7" x14ac:dyDescent="0.35">
      <c r="A84" s="1"/>
      <c r="G84" s="1"/>
    </row>
    <row r="85" spans="1:7" x14ac:dyDescent="0.35">
      <c r="A85" s="1"/>
      <c r="G85" s="1"/>
    </row>
    <row r="86" spans="1:7" x14ac:dyDescent="0.35">
      <c r="A86" s="1"/>
      <c r="G86" s="1"/>
    </row>
    <row r="87" spans="1:7" x14ac:dyDescent="0.35">
      <c r="A87" s="1"/>
      <c r="G87" s="1"/>
    </row>
    <row r="88" spans="1:7" x14ac:dyDescent="0.35">
      <c r="A88" s="1"/>
      <c r="G88" s="1"/>
    </row>
    <row r="89" spans="1:7" x14ac:dyDescent="0.35">
      <c r="A89" s="1"/>
      <c r="G89" s="1"/>
    </row>
    <row r="90" spans="1:7" x14ac:dyDescent="0.35">
      <c r="A90" s="1"/>
      <c r="G90" s="1"/>
    </row>
    <row r="91" spans="1:7" x14ac:dyDescent="0.35">
      <c r="A91" s="1"/>
      <c r="G91" s="1"/>
    </row>
    <row r="92" spans="1:7" x14ac:dyDescent="0.35">
      <c r="A92" s="1"/>
      <c r="G92" s="1"/>
    </row>
    <row r="93" spans="1:7" x14ac:dyDescent="0.35">
      <c r="A93" s="1"/>
      <c r="G93" s="1"/>
    </row>
    <row r="94" spans="1:7" x14ac:dyDescent="0.35">
      <c r="A94" s="1"/>
      <c r="G94" s="1"/>
    </row>
    <row r="95" spans="1:7" x14ac:dyDescent="0.35">
      <c r="A95" s="1"/>
      <c r="G95" s="1"/>
    </row>
    <row r="96" spans="1:7" x14ac:dyDescent="0.35">
      <c r="A96" s="1"/>
      <c r="G96" s="1"/>
    </row>
    <row r="97" spans="1:7" x14ac:dyDescent="0.35">
      <c r="A97" s="1"/>
      <c r="G97" s="1"/>
    </row>
    <row r="98" spans="1:7" x14ac:dyDescent="0.35">
      <c r="A98" s="1"/>
      <c r="G98" s="1"/>
    </row>
    <row r="99" spans="1:7" x14ac:dyDescent="0.35">
      <c r="A99" s="1"/>
      <c r="G99" s="1"/>
    </row>
    <row r="100" spans="1:7" x14ac:dyDescent="0.35">
      <c r="A100" s="1"/>
      <c r="G100" s="1"/>
    </row>
    <row r="101" spans="1:7" x14ac:dyDescent="0.35">
      <c r="A101" s="1"/>
      <c r="G101" s="1"/>
    </row>
    <row r="102" spans="1:7" x14ac:dyDescent="0.35">
      <c r="A102" s="1"/>
      <c r="G102" s="1"/>
    </row>
    <row r="103" spans="1:7" x14ac:dyDescent="0.35">
      <c r="A103" s="1"/>
      <c r="G103" s="1"/>
    </row>
    <row r="104" spans="1:7" x14ac:dyDescent="0.35">
      <c r="A104" s="1"/>
      <c r="G104" s="1"/>
    </row>
    <row r="105" spans="1:7" x14ac:dyDescent="0.35">
      <c r="A105" s="1"/>
      <c r="G105" s="1"/>
    </row>
    <row r="106" spans="1:7" x14ac:dyDescent="0.35">
      <c r="A106" s="1"/>
      <c r="G106" s="1"/>
    </row>
    <row r="107" spans="1:7" x14ac:dyDescent="0.35">
      <c r="A107" s="1"/>
      <c r="G107" s="1"/>
    </row>
    <row r="108" spans="1:7" x14ac:dyDescent="0.35">
      <c r="A108" s="1"/>
      <c r="G108" s="1"/>
    </row>
    <row r="109" spans="1:7" x14ac:dyDescent="0.35">
      <c r="A109" s="1"/>
      <c r="G109" s="1"/>
    </row>
    <row r="110" spans="1:7" x14ac:dyDescent="0.35">
      <c r="A110" s="1"/>
      <c r="G110" s="1"/>
    </row>
    <row r="111" spans="1:7" x14ac:dyDescent="0.35">
      <c r="A111" s="1"/>
      <c r="G111" s="1"/>
    </row>
    <row r="112" spans="1:7" x14ac:dyDescent="0.35">
      <c r="A112" s="1"/>
      <c r="G112" s="1"/>
    </row>
    <row r="113" spans="1:7" x14ac:dyDescent="0.35">
      <c r="A113" s="1"/>
      <c r="G113" s="1"/>
    </row>
    <row r="114" spans="1:7" x14ac:dyDescent="0.35">
      <c r="A114" s="1"/>
      <c r="G114" s="1"/>
    </row>
    <row r="115" spans="1:7" x14ac:dyDescent="0.35">
      <c r="A115" s="1"/>
      <c r="G115" s="1"/>
    </row>
    <row r="116" spans="1:7" x14ac:dyDescent="0.35">
      <c r="A116" s="1"/>
      <c r="G116" s="1"/>
    </row>
    <row r="117" spans="1:7" x14ac:dyDescent="0.35">
      <c r="A117" s="1"/>
      <c r="G117" s="1"/>
    </row>
    <row r="118" spans="1:7" x14ac:dyDescent="0.35">
      <c r="A118" s="1"/>
      <c r="G118" s="1"/>
    </row>
    <row r="119" spans="1:7" x14ac:dyDescent="0.35">
      <c r="A119" s="1"/>
      <c r="G119" s="1"/>
    </row>
    <row r="120" spans="1:7" x14ac:dyDescent="0.35">
      <c r="A120" s="1"/>
      <c r="G120" s="1"/>
    </row>
    <row r="121" spans="1:7" x14ac:dyDescent="0.35">
      <c r="A121" s="1"/>
      <c r="G121" s="1"/>
    </row>
    <row r="122" spans="1:7" x14ac:dyDescent="0.35">
      <c r="A122" s="1"/>
      <c r="G122" s="1"/>
    </row>
    <row r="123" spans="1:7" x14ac:dyDescent="0.35">
      <c r="A123" s="1"/>
      <c r="G123" s="1"/>
    </row>
    <row r="124" spans="1:7" x14ac:dyDescent="0.35">
      <c r="A124" s="1"/>
      <c r="G124" s="1"/>
    </row>
    <row r="125" spans="1:7" x14ac:dyDescent="0.35">
      <c r="A125" s="1"/>
      <c r="G125" s="1"/>
    </row>
    <row r="126" spans="1:7" x14ac:dyDescent="0.35">
      <c r="A126" s="1"/>
      <c r="G126" s="1"/>
    </row>
    <row r="127" spans="1:7" x14ac:dyDescent="0.35">
      <c r="A127" s="1"/>
      <c r="G127" s="1"/>
    </row>
    <row r="128" spans="1:7" x14ac:dyDescent="0.35">
      <c r="A128" s="1"/>
      <c r="G128" s="1"/>
    </row>
    <row r="129" spans="1:7" x14ac:dyDescent="0.35">
      <c r="A129" s="1"/>
      <c r="G129" s="1"/>
    </row>
    <row r="130" spans="1:7" x14ac:dyDescent="0.35">
      <c r="A130" s="1"/>
      <c r="G130" s="1"/>
    </row>
    <row r="131" spans="1:7" x14ac:dyDescent="0.35">
      <c r="A131" s="1"/>
      <c r="G131" s="1"/>
    </row>
    <row r="132" spans="1:7" x14ac:dyDescent="0.35">
      <c r="A132" s="1"/>
      <c r="G132" s="1"/>
    </row>
    <row r="133" spans="1:7" x14ac:dyDescent="0.35">
      <c r="A133" s="1"/>
      <c r="G133" s="1"/>
    </row>
    <row r="134" spans="1:7" x14ac:dyDescent="0.35">
      <c r="A134" s="1"/>
      <c r="G134" s="1"/>
    </row>
    <row r="135" spans="1:7" x14ac:dyDescent="0.35">
      <c r="A135" s="1"/>
      <c r="G135" s="1"/>
    </row>
    <row r="136" spans="1:7" x14ac:dyDescent="0.35">
      <c r="A136" s="1"/>
      <c r="G136" s="1"/>
    </row>
    <row r="137" spans="1:7" x14ac:dyDescent="0.35">
      <c r="A137" s="1"/>
      <c r="G137" s="1"/>
    </row>
    <row r="138" spans="1:7" x14ac:dyDescent="0.35">
      <c r="A138" s="1"/>
      <c r="G138" s="1"/>
    </row>
    <row r="139" spans="1:7" x14ac:dyDescent="0.35">
      <c r="A139" s="1"/>
      <c r="G139" s="1"/>
    </row>
    <row r="140" spans="1:7" x14ac:dyDescent="0.35">
      <c r="A140" s="1"/>
      <c r="G140" s="1"/>
    </row>
    <row r="141" spans="1:7" x14ac:dyDescent="0.35">
      <c r="A141" s="1"/>
      <c r="G141" s="1"/>
    </row>
    <row r="142" spans="1:7" x14ac:dyDescent="0.35">
      <c r="A142" s="1"/>
      <c r="G142" s="1"/>
    </row>
    <row r="143" spans="1:7" x14ac:dyDescent="0.35">
      <c r="A143" s="1"/>
      <c r="G143" s="1"/>
    </row>
    <row r="144" spans="1:7" x14ac:dyDescent="0.35">
      <c r="A144" s="1"/>
      <c r="G144" s="1"/>
    </row>
    <row r="145" spans="1:7" x14ac:dyDescent="0.35">
      <c r="A145" s="1"/>
      <c r="G145" s="1"/>
    </row>
    <row r="146" spans="1:7" x14ac:dyDescent="0.35">
      <c r="A146" s="1"/>
      <c r="G146" s="1"/>
    </row>
    <row r="147" spans="1:7" x14ac:dyDescent="0.35">
      <c r="A147" s="1"/>
      <c r="G147" s="1"/>
    </row>
    <row r="148" spans="1:7" x14ac:dyDescent="0.35">
      <c r="A148" s="1"/>
      <c r="G148" s="1"/>
    </row>
    <row r="149" spans="1:7" x14ac:dyDescent="0.35">
      <c r="A149" s="1"/>
      <c r="G149" s="1"/>
    </row>
    <row r="150" spans="1:7" x14ac:dyDescent="0.35">
      <c r="A150" s="1"/>
      <c r="G150" s="1"/>
    </row>
    <row r="151" spans="1:7" x14ac:dyDescent="0.35">
      <c r="A151" s="1"/>
      <c r="G151" s="1"/>
    </row>
    <row r="152" spans="1:7" x14ac:dyDescent="0.35">
      <c r="A152" s="1"/>
      <c r="G152" s="1"/>
    </row>
    <row r="153" spans="1:7" x14ac:dyDescent="0.35">
      <c r="A153" s="1"/>
      <c r="G153" s="1"/>
    </row>
    <row r="154" spans="1:7" x14ac:dyDescent="0.35">
      <c r="A154" s="1"/>
      <c r="G154" s="1"/>
    </row>
    <row r="155" spans="1:7" x14ac:dyDescent="0.35">
      <c r="A155" s="1"/>
      <c r="G155" s="1"/>
    </row>
    <row r="156" spans="1:7" x14ac:dyDescent="0.35">
      <c r="A156" s="1"/>
      <c r="G156" s="1"/>
    </row>
    <row r="157" spans="1:7" x14ac:dyDescent="0.35">
      <c r="A157" s="1"/>
      <c r="G157" s="1"/>
    </row>
    <row r="158" spans="1:7" x14ac:dyDescent="0.35">
      <c r="A158" s="1"/>
      <c r="G158" s="1"/>
    </row>
    <row r="159" spans="1:7" x14ac:dyDescent="0.35">
      <c r="A159" s="1"/>
      <c r="G159" s="1"/>
    </row>
    <row r="160" spans="1:7" x14ac:dyDescent="0.35">
      <c r="A160" s="1"/>
      <c r="G160" s="1"/>
    </row>
    <row r="161" spans="1:7" x14ac:dyDescent="0.35">
      <c r="A161" s="1"/>
      <c r="G161" s="1"/>
    </row>
    <row r="162" spans="1:7" x14ac:dyDescent="0.35">
      <c r="A162" s="1"/>
      <c r="G162" s="1"/>
    </row>
    <row r="163" spans="1:7" x14ac:dyDescent="0.35">
      <c r="A163" s="1"/>
      <c r="G163" s="1"/>
    </row>
    <row r="164" spans="1:7" x14ac:dyDescent="0.35">
      <c r="A164" s="1"/>
      <c r="G164" s="1"/>
    </row>
    <row r="165" spans="1:7" x14ac:dyDescent="0.35">
      <c r="A165" s="1"/>
      <c r="G165" s="1"/>
    </row>
    <row r="166" spans="1:7" x14ac:dyDescent="0.35">
      <c r="A166" s="1"/>
      <c r="G166" s="1"/>
    </row>
    <row r="167" spans="1:7" x14ac:dyDescent="0.35">
      <c r="A167" s="1"/>
      <c r="G167" s="1"/>
    </row>
    <row r="168" spans="1:7" x14ac:dyDescent="0.35">
      <c r="A168" s="1"/>
      <c r="G168" s="1"/>
    </row>
    <row r="169" spans="1:7" x14ac:dyDescent="0.35">
      <c r="A169" s="1"/>
      <c r="G169" s="1"/>
    </row>
    <row r="170" spans="1:7" x14ac:dyDescent="0.35">
      <c r="A170" s="1"/>
      <c r="G170" s="1"/>
    </row>
    <row r="171" spans="1:7" x14ac:dyDescent="0.35">
      <c r="A171" s="1"/>
      <c r="G171" s="1"/>
    </row>
    <row r="172" spans="1:7" x14ac:dyDescent="0.35">
      <c r="A172" s="1"/>
      <c r="G172" s="1"/>
    </row>
    <row r="173" spans="1:7" x14ac:dyDescent="0.35">
      <c r="A173" s="1"/>
      <c r="G173" s="1"/>
    </row>
    <row r="174" spans="1:7" x14ac:dyDescent="0.35">
      <c r="A174" s="1"/>
      <c r="G174" s="1"/>
    </row>
    <row r="175" spans="1:7" x14ac:dyDescent="0.35">
      <c r="A175" s="1"/>
      <c r="G175" s="1"/>
    </row>
    <row r="176" spans="1:7" x14ac:dyDescent="0.35">
      <c r="A176" s="1"/>
      <c r="G176" s="1"/>
    </row>
    <row r="177" spans="1:7" x14ac:dyDescent="0.35">
      <c r="A177" s="1"/>
      <c r="G177" s="1"/>
    </row>
    <row r="178" spans="1:7" x14ac:dyDescent="0.35">
      <c r="A178" s="1"/>
      <c r="G178" s="1"/>
    </row>
    <row r="179" spans="1:7" x14ac:dyDescent="0.35">
      <c r="A179" s="1"/>
      <c r="G179" s="1"/>
    </row>
    <row r="180" spans="1:7" x14ac:dyDescent="0.35">
      <c r="A180" s="1"/>
      <c r="G180" s="1"/>
    </row>
    <row r="181" spans="1:7" x14ac:dyDescent="0.35">
      <c r="A181" s="1"/>
      <c r="G181" s="1"/>
    </row>
    <row r="182" spans="1:7" x14ac:dyDescent="0.35">
      <c r="A182" s="1"/>
      <c r="G182" s="1"/>
    </row>
    <row r="183" spans="1:7" x14ac:dyDescent="0.35">
      <c r="A183" s="1"/>
      <c r="G183" s="1"/>
    </row>
    <row r="184" spans="1:7" x14ac:dyDescent="0.35">
      <c r="A184" s="1"/>
      <c r="G184" s="1"/>
    </row>
    <row r="185" spans="1:7" x14ac:dyDescent="0.35">
      <c r="A185" s="1"/>
      <c r="G185" s="1"/>
    </row>
    <row r="186" spans="1:7" x14ac:dyDescent="0.35">
      <c r="A186" s="1"/>
      <c r="G186" s="1"/>
    </row>
    <row r="187" spans="1:7" x14ac:dyDescent="0.35">
      <c r="A187" s="1"/>
      <c r="G187" s="1"/>
    </row>
    <row r="188" spans="1:7" x14ac:dyDescent="0.35">
      <c r="A188" s="1"/>
      <c r="G188" s="1"/>
    </row>
    <row r="189" spans="1:7" x14ac:dyDescent="0.35">
      <c r="A189" s="1"/>
      <c r="G189" s="1"/>
    </row>
    <row r="190" spans="1:7" x14ac:dyDescent="0.35">
      <c r="A190" s="1"/>
      <c r="G190" s="1"/>
    </row>
    <row r="191" spans="1:7" x14ac:dyDescent="0.35">
      <c r="A191" s="1"/>
      <c r="G191" s="1"/>
    </row>
    <row r="192" spans="1:7" x14ac:dyDescent="0.35">
      <c r="A192" s="1"/>
      <c r="G192" s="1"/>
    </row>
    <row r="193" spans="1:7" x14ac:dyDescent="0.35">
      <c r="A193" s="1"/>
      <c r="G193" s="1"/>
    </row>
    <row r="194" spans="1:7" x14ac:dyDescent="0.35">
      <c r="A194" s="1"/>
      <c r="G194" s="1"/>
    </row>
    <row r="195" spans="1:7" x14ac:dyDescent="0.35">
      <c r="A195" s="1"/>
      <c r="G195" s="1"/>
    </row>
    <row r="196" spans="1:7" x14ac:dyDescent="0.35">
      <c r="A196" s="1"/>
      <c r="G196" s="1"/>
    </row>
    <row r="197" spans="1:7" x14ac:dyDescent="0.35">
      <c r="A197" s="1"/>
      <c r="G197" s="1"/>
    </row>
    <row r="198" spans="1:7" x14ac:dyDescent="0.35">
      <c r="A198" s="1"/>
      <c r="G198" s="1"/>
    </row>
    <row r="199" spans="1:7" x14ac:dyDescent="0.35">
      <c r="A199" s="1"/>
      <c r="G199" s="1"/>
    </row>
    <row r="200" spans="1:7" x14ac:dyDescent="0.35">
      <c r="A200" s="1"/>
      <c r="G200" s="1"/>
    </row>
    <row r="201" spans="1:7" x14ac:dyDescent="0.35">
      <c r="A201" s="1"/>
      <c r="G201" s="1"/>
    </row>
    <row r="202" spans="1:7" x14ac:dyDescent="0.35">
      <c r="A202" s="1"/>
      <c r="G202" s="1"/>
    </row>
    <row r="203" spans="1:7" x14ac:dyDescent="0.35">
      <c r="A203" s="1"/>
      <c r="G203" s="1"/>
    </row>
    <row r="204" spans="1:7" x14ac:dyDescent="0.35">
      <c r="A204" s="1"/>
      <c r="G204" s="1"/>
    </row>
    <row r="205" spans="1:7" x14ac:dyDescent="0.35">
      <c r="A205" s="1"/>
      <c r="G205" s="1"/>
    </row>
    <row r="206" spans="1:7" x14ac:dyDescent="0.35">
      <c r="A206" s="1"/>
      <c r="G206" s="1"/>
    </row>
    <row r="207" spans="1:7" x14ac:dyDescent="0.35">
      <c r="A207" s="1"/>
      <c r="G207" s="1"/>
    </row>
    <row r="208" spans="1:7" x14ac:dyDescent="0.35">
      <c r="A208" s="1"/>
      <c r="G208" s="1"/>
    </row>
    <row r="209" spans="1:7" x14ac:dyDescent="0.35">
      <c r="A209" s="1"/>
      <c r="G209" s="1"/>
    </row>
    <row r="210" spans="1:7" x14ac:dyDescent="0.35">
      <c r="A210" s="1"/>
      <c r="G210" s="1"/>
    </row>
    <row r="211" spans="1:7" x14ac:dyDescent="0.35">
      <c r="A211" s="1"/>
      <c r="G211" s="1"/>
    </row>
    <row r="212" spans="1:7" x14ac:dyDescent="0.35">
      <c r="A212" s="1"/>
      <c r="G212" s="1"/>
    </row>
    <row r="213" spans="1:7" x14ac:dyDescent="0.35">
      <c r="A213" s="1"/>
      <c r="G213" s="1"/>
    </row>
    <row r="214" spans="1:7" x14ac:dyDescent="0.35">
      <c r="A214" s="1"/>
      <c r="G214" s="1"/>
    </row>
    <row r="215" spans="1:7" x14ac:dyDescent="0.35">
      <c r="A215" s="1"/>
      <c r="G215" s="1"/>
    </row>
    <row r="216" spans="1:7" x14ac:dyDescent="0.35">
      <c r="A216" s="1"/>
      <c r="G216" s="1"/>
    </row>
    <row r="217" spans="1:7" x14ac:dyDescent="0.35">
      <c r="A217" s="1"/>
      <c r="G217" s="1"/>
    </row>
    <row r="218" spans="1:7" x14ac:dyDescent="0.35">
      <c r="A218" s="1"/>
      <c r="G218" s="1"/>
    </row>
    <row r="219" spans="1:7" x14ac:dyDescent="0.35">
      <c r="A219" s="1"/>
      <c r="G219" s="1"/>
    </row>
    <row r="220" spans="1:7" x14ac:dyDescent="0.35">
      <c r="A220" s="1"/>
      <c r="G220" s="1"/>
    </row>
    <row r="221" spans="1:7" x14ac:dyDescent="0.35">
      <c r="A221" s="1"/>
      <c r="G221" s="1"/>
    </row>
    <row r="222" spans="1:7" x14ac:dyDescent="0.35">
      <c r="A222" s="1"/>
      <c r="G222" s="1"/>
    </row>
    <row r="223" spans="1:7" x14ac:dyDescent="0.35">
      <c r="A223" s="1"/>
      <c r="G223" s="1"/>
    </row>
    <row r="224" spans="1:7" x14ac:dyDescent="0.35">
      <c r="A224" s="1"/>
      <c r="G224" s="1"/>
    </row>
    <row r="225" spans="1:7" x14ac:dyDescent="0.35">
      <c r="A225" s="1"/>
      <c r="G225" s="1"/>
    </row>
    <row r="226" spans="1:7" x14ac:dyDescent="0.35">
      <c r="A226" s="1"/>
      <c r="G226" s="1"/>
    </row>
    <row r="227" spans="1:7" x14ac:dyDescent="0.35">
      <c r="A227" s="1"/>
      <c r="G227" s="1"/>
    </row>
    <row r="228" spans="1:7" x14ac:dyDescent="0.35">
      <c r="A228" s="1"/>
      <c r="G228" s="1"/>
    </row>
    <row r="229" spans="1:7" x14ac:dyDescent="0.35">
      <c r="A229" s="1"/>
      <c r="G229" s="1"/>
    </row>
    <row r="230" spans="1:7" x14ac:dyDescent="0.35">
      <c r="A230" s="1"/>
      <c r="G230" s="1"/>
    </row>
    <row r="231" spans="1:7" x14ac:dyDescent="0.35">
      <c r="A231" s="1"/>
      <c r="G231" s="1"/>
    </row>
    <row r="232" spans="1:7" x14ac:dyDescent="0.35">
      <c r="A232" s="1"/>
      <c r="G232" s="1"/>
    </row>
    <row r="233" spans="1:7" x14ac:dyDescent="0.35">
      <c r="A233" s="1"/>
      <c r="G233" s="1"/>
    </row>
    <row r="234" spans="1:7" x14ac:dyDescent="0.35">
      <c r="A234" s="1"/>
      <c r="G234" s="1"/>
    </row>
    <row r="235" spans="1:7" x14ac:dyDescent="0.35">
      <c r="A235" s="1"/>
      <c r="G235" s="1"/>
    </row>
    <row r="236" spans="1:7" x14ac:dyDescent="0.35">
      <c r="A236" s="1"/>
      <c r="G236" s="1"/>
    </row>
    <row r="237" spans="1:7" x14ac:dyDescent="0.35">
      <c r="A237" s="1"/>
      <c r="G237" s="1"/>
    </row>
    <row r="238" spans="1:7" x14ac:dyDescent="0.35">
      <c r="A238" s="1"/>
      <c r="G238" s="1"/>
    </row>
    <row r="239" spans="1:7" x14ac:dyDescent="0.35">
      <c r="A239" s="1"/>
      <c r="G239" s="1"/>
    </row>
    <row r="240" spans="1:7" x14ac:dyDescent="0.35">
      <c r="A240" s="1"/>
      <c r="G240" s="1"/>
    </row>
    <row r="241" spans="1:7" x14ac:dyDescent="0.35">
      <c r="A241" s="1"/>
      <c r="G241" s="1"/>
    </row>
    <row r="242" spans="1:7" x14ac:dyDescent="0.35">
      <c r="A242" s="1"/>
      <c r="G242" s="1"/>
    </row>
    <row r="243" spans="1:7" x14ac:dyDescent="0.35">
      <c r="A243" s="1"/>
      <c r="G243" s="1"/>
    </row>
    <row r="244" spans="1:7" x14ac:dyDescent="0.35">
      <c r="A244" s="1"/>
      <c r="G244" s="1"/>
    </row>
    <row r="245" spans="1:7" x14ac:dyDescent="0.35">
      <c r="A245" s="1"/>
      <c r="G245" s="1"/>
    </row>
    <row r="246" spans="1:7" x14ac:dyDescent="0.35">
      <c r="A246" s="1"/>
      <c r="G246" s="1"/>
    </row>
    <row r="247" spans="1:7" x14ac:dyDescent="0.35">
      <c r="A247" s="1"/>
      <c r="G247" s="1"/>
    </row>
    <row r="248" spans="1:7" x14ac:dyDescent="0.35">
      <c r="A248" s="1"/>
      <c r="G248" s="1"/>
    </row>
    <row r="249" spans="1:7" x14ac:dyDescent="0.35">
      <c r="A249" s="1"/>
      <c r="G249" s="1"/>
    </row>
    <row r="250" spans="1:7" x14ac:dyDescent="0.35">
      <c r="A250" s="1"/>
      <c r="G250" s="1"/>
    </row>
    <row r="251" spans="1:7" x14ac:dyDescent="0.35">
      <c r="A251" s="1"/>
      <c r="G251" s="1"/>
    </row>
    <row r="252" spans="1:7" x14ac:dyDescent="0.35">
      <c r="A252" s="1"/>
      <c r="G252" s="1"/>
    </row>
    <row r="253" spans="1:7" x14ac:dyDescent="0.35">
      <c r="A253" s="1"/>
      <c r="G253" s="1"/>
    </row>
    <row r="254" spans="1:7" x14ac:dyDescent="0.35">
      <c r="A254" s="1"/>
      <c r="G254" s="1"/>
    </row>
    <row r="255" spans="1:7" x14ac:dyDescent="0.35">
      <c r="A255" s="1"/>
      <c r="G255" s="1"/>
    </row>
    <row r="256" spans="1:7" x14ac:dyDescent="0.35">
      <c r="A256" s="1"/>
      <c r="G256" s="1"/>
    </row>
    <row r="257" spans="1:7" x14ac:dyDescent="0.35">
      <c r="A257" s="1"/>
      <c r="G257" s="1"/>
    </row>
    <row r="258" spans="1:7" x14ac:dyDescent="0.35">
      <c r="A258" s="1"/>
      <c r="G258" s="1"/>
    </row>
    <row r="259" spans="1:7" x14ac:dyDescent="0.35">
      <c r="A259" s="1"/>
      <c r="G259" s="1"/>
    </row>
    <row r="260" spans="1:7" x14ac:dyDescent="0.35">
      <c r="A260" s="1"/>
      <c r="G260" s="1"/>
    </row>
    <row r="261" spans="1:7" x14ac:dyDescent="0.35">
      <c r="A261" s="1"/>
      <c r="G261" s="1"/>
    </row>
    <row r="262" spans="1:7" x14ac:dyDescent="0.35">
      <c r="A262" s="1"/>
      <c r="G262" s="1"/>
    </row>
    <row r="263" spans="1:7" x14ac:dyDescent="0.35">
      <c r="A263" s="1"/>
      <c r="G263" s="1"/>
    </row>
    <row r="264" spans="1:7" x14ac:dyDescent="0.35">
      <c r="A264" s="1"/>
      <c r="G264" s="1"/>
    </row>
    <row r="265" spans="1:7" x14ac:dyDescent="0.35">
      <c r="A265" s="1"/>
      <c r="G265" s="1"/>
    </row>
    <row r="266" spans="1:7" x14ac:dyDescent="0.35">
      <c r="A266" s="1"/>
      <c r="G266" s="1"/>
    </row>
    <row r="267" spans="1:7" x14ac:dyDescent="0.35">
      <c r="A267" s="1"/>
      <c r="G267" s="1"/>
    </row>
    <row r="268" spans="1:7" x14ac:dyDescent="0.35">
      <c r="A268" s="1"/>
      <c r="G268" s="1"/>
    </row>
    <row r="269" spans="1:7" x14ac:dyDescent="0.35">
      <c r="A269" s="1"/>
      <c r="G269" s="1"/>
    </row>
    <row r="270" spans="1:7" x14ac:dyDescent="0.35">
      <c r="A270" s="1"/>
      <c r="G270" s="1"/>
    </row>
    <row r="271" spans="1:7" x14ac:dyDescent="0.35">
      <c r="A271" s="1"/>
      <c r="G271" s="1"/>
    </row>
    <row r="272" spans="1:7" x14ac:dyDescent="0.35">
      <c r="A272" s="1"/>
      <c r="G272" s="1"/>
    </row>
    <row r="273" spans="1:7" x14ac:dyDescent="0.35">
      <c r="A273" s="1"/>
      <c r="G273" s="1"/>
    </row>
    <row r="274" spans="1:7" x14ac:dyDescent="0.35">
      <c r="A274" s="1"/>
      <c r="G274" s="1"/>
    </row>
    <row r="275" spans="1:7" x14ac:dyDescent="0.35">
      <c r="A275" s="1"/>
      <c r="G275" s="1"/>
    </row>
    <row r="276" spans="1:7" x14ac:dyDescent="0.35">
      <c r="A276" s="1"/>
      <c r="G276" s="1"/>
    </row>
    <row r="277" spans="1:7" x14ac:dyDescent="0.35">
      <c r="A277" s="1"/>
      <c r="G277" s="1"/>
    </row>
    <row r="278" spans="1:7" x14ac:dyDescent="0.35">
      <c r="A278" s="1"/>
      <c r="G278" s="1"/>
    </row>
    <row r="279" spans="1:7" x14ac:dyDescent="0.35">
      <c r="A279" s="1"/>
      <c r="G279" s="1"/>
    </row>
    <row r="280" spans="1:7" x14ac:dyDescent="0.35">
      <c r="A280" s="1"/>
      <c r="G280" s="1"/>
    </row>
    <row r="281" spans="1:7" x14ac:dyDescent="0.35">
      <c r="A281" s="1"/>
      <c r="G281" s="1"/>
    </row>
    <row r="282" spans="1:7" x14ac:dyDescent="0.35">
      <c r="A282" s="1"/>
      <c r="G282" s="1"/>
    </row>
    <row r="283" spans="1:7" x14ac:dyDescent="0.35">
      <c r="A283" s="1"/>
      <c r="G283" s="1"/>
    </row>
    <row r="284" spans="1:7" x14ac:dyDescent="0.35">
      <c r="A284" s="1"/>
      <c r="G284" s="1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395"/>
  <sheetViews>
    <sheetView topLeftCell="A36" workbookViewId="0">
      <selection activeCell="O11" sqref="O11"/>
    </sheetView>
  </sheetViews>
  <sheetFormatPr defaultRowHeight="14.5" x14ac:dyDescent="0.35"/>
  <cols>
    <col min="1" max="1" width="6.54296875" customWidth="1"/>
    <col min="2" max="5" width="14.453125" customWidth="1"/>
    <col min="6" max="7" width="9.26953125" customWidth="1"/>
    <col min="8" max="8" width="14.453125" customWidth="1"/>
    <col min="9" max="9" width="13.7265625" bestFit="1" customWidth="1"/>
    <col min="11" max="11" width="11" bestFit="1" customWidth="1"/>
    <col min="13" max="14" width="13" bestFit="1" customWidth="1"/>
  </cols>
  <sheetData>
    <row r="1" spans="1:14" ht="15" thickBot="1" x14ac:dyDescent="0.4">
      <c r="A1" s="5" t="s">
        <v>0</v>
      </c>
      <c r="B1" s="6" t="s">
        <v>8</v>
      </c>
      <c r="C1" s="6" t="s">
        <v>9</v>
      </c>
      <c r="D1" s="6" t="s">
        <v>1</v>
      </c>
      <c r="E1" s="6" t="s">
        <v>2</v>
      </c>
      <c r="F1" s="6" t="s">
        <v>4</v>
      </c>
      <c r="G1" s="6" t="s">
        <v>393</v>
      </c>
      <c r="H1" s="6" t="s">
        <v>6</v>
      </c>
      <c r="I1" s="5" t="s">
        <v>10</v>
      </c>
      <c r="K1" t="s">
        <v>2</v>
      </c>
      <c r="M1" t="s">
        <v>9</v>
      </c>
      <c r="N1" t="s">
        <v>9</v>
      </c>
    </row>
    <row r="2" spans="1:14" x14ac:dyDescent="0.35">
      <c r="A2" s="1">
        <v>115</v>
      </c>
      <c r="B2" s="1" t="s">
        <v>220</v>
      </c>
      <c r="C2" s="24">
        <v>45320</v>
      </c>
      <c r="D2" s="1" t="s">
        <v>25</v>
      </c>
      <c r="E2" s="15" t="s">
        <v>26</v>
      </c>
      <c r="F2" s="1" t="s">
        <v>27</v>
      </c>
      <c r="G2" s="32"/>
      <c r="H2" s="1" t="s">
        <v>7</v>
      </c>
      <c r="I2" s="1">
        <v>10</v>
      </c>
      <c r="K2" t="s">
        <v>1874</v>
      </c>
      <c r="M2" t="s">
        <v>519</v>
      </c>
      <c r="N2" t="s">
        <v>520</v>
      </c>
    </row>
    <row r="3" spans="1:14" x14ac:dyDescent="0.35">
      <c r="A3" s="1">
        <v>116</v>
      </c>
      <c r="B3" s="1" t="s">
        <v>300</v>
      </c>
      <c r="C3" s="24">
        <v>45327</v>
      </c>
      <c r="D3" s="1" t="s">
        <v>25</v>
      </c>
      <c r="E3" s="15" t="s">
        <v>26</v>
      </c>
      <c r="F3" s="1" t="s">
        <v>27</v>
      </c>
      <c r="G3" s="32"/>
      <c r="H3" s="1" t="s">
        <v>7</v>
      </c>
      <c r="I3" s="1">
        <v>5</v>
      </c>
    </row>
    <row r="4" spans="1:14" x14ac:dyDescent="0.35">
      <c r="A4" s="1">
        <v>117</v>
      </c>
      <c r="B4" s="1" t="s">
        <v>302</v>
      </c>
      <c r="C4" s="24">
        <v>45353</v>
      </c>
      <c r="D4" s="1" t="s">
        <v>25</v>
      </c>
      <c r="E4" s="15" t="s">
        <v>50</v>
      </c>
      <c r="F4" s="1" t="s">
        <v>27</v>
      </c>
      <c r="G4" s="32"/>
      <c r="H4" s="1" t="s">
        <v>7</v>
      </c>
      <c r="I4" s="1">
        <v>10</v>
      </c>
    </row>
    <row r="5" spans="1:14" x14ac:dyDescent="0.35">
      <c r="A5" s="1">
        <v>118</v>
      </c>
      <c r="B5" s="1" t="s">
        <v>322</v>
      </c>
      <c r="C5" s="24">
        <v>45353</v>
      </c>
      <c r="D5" s="1" t="s">
        <v>25</v>
      </c>
      <c r="E5" s="15" t="s">
        <v>50</v>
      </c>
      <c r="F5" s="1" t="s">
        <v>27</v>
      </c>
      <c r="G5" s="32"/>
      <c r="H5" s="1" t="s">
        <v>7</v>
      </c>
      <c r="I5" s="1">
        <v>2</v>
      </c>
    </row>
    <row r="6" spans="1:14" x14ac:dyDescent="0.35">
      <c r="A6" s="1">
        <v>119</v>
      </c>
      <c r="B6" s="1" t="s">
        <v>329</v>
      </c>
      <c r="C6" s="24">
        <v>45370</v>
      </c>
      <c r="D6" s="1" t="s">
        <v>25</v>
      </c>
      <c r="E6" s="15" t="s">
        <v>50</v>
      </c>
      <c r="F6" s="1" t="s">
        <v>27</v>
      </c>
      <c r="G6" s="32"/>
      <c r="H6" s="1" t="s">
        <v>7</v>
      </c>
      <c r="I6" s="1">
        <v>10</v>
      </c>
    </row>
    <row r="7" spans="1:14" x14ac:dyDescent="0.35">
      <c r="A7" s="1">
        <v>120</v>
      </c>
      <c r="B7" s="1" t="s">
        <v>384</v>
      </c>
      <c r="C7" s="24">
        <v>45415</v>
      </c>
      <c r="D7" s="1" t="s">
        <v>25</v>
      </c>
      <c r="E7" s="15" t="s">
        <v>50</v>
      </c>
      <c r="F7" s="1" t="s">
        <v>27</v>
      </c>
      <c r="G7" s="32"/>
      <c r="H7" s="1" t="s">
        <v>7</v>
      </c>
      <c r="I7" s="1">
        <v>5</v>
      </c>
    </row>
    <row r="8" spans="1:14" x14ac:dyDescent="0.35">
      <c r="A8" s="1">
        <v>121</v>
      </c>
      <c r="B8" s="1" t="s">
        <v>391</v>
      </c>
      <c r="C8" s="24">
        <v>45425</v>
      </c>
      <c r="D8" s="1" t="s">
        <v>25</v>
      </c>
      <c r="E8" s="15" t="s">
        <v>50</v>
      </c>
      <c r="F8" s="1" t="s">
        <v>27</v>
      </c>
      <c r="G8" s="32"/>
      <c r="H8" s="1" t="s">
        <v>7</v>
      </c>
      <c r="I8" s="1">
        <v>5</v>
      </c>
    </row>
    <row r="9" spans="1:14" x14ac:dyDescent="0.35">
      <c r="A9" s="1">
        <v>122</v>
      </c>
      <c r="B9" s="1" t="s">
        <v>392</v>
      </c>
      <c r="C9" s="24">
        <v>45434</v>
      </c>
      <c r="D9" s="1" t="s">
        <v>25</v>
      </c>
      <c r="E9" s="15" t="s">
        <v>50</v>
      </c>
      <c r="F9" s="1" t="s">
        <v>27</v>
      </c>
      <c r="G9" s="32"/>
      <c r="H9" s="1" t="s">
        <v>7</v>
      </c>
      <c r="I9" s="1">
        <v>5</v>
      </c>
    </row>
    <row r="10" spans="1:14" x14ac:dyDescent="0.35">
      <c r="A10" s="1">
        <v>123</v>
      </c>
      <c r="B10" s="1" t="s">
        <v>407</v>
      </c>
      <c r="C10" s="24">
        <v>45454</v>
      </c>
      <c r="D10" s="1" t="s">
        <v>25</v>
      </c>
      <c r="E10" s="15" t="s">
        <v>50</v>
      </c>
      <c r="F10" s="1" t="s">
        <v>27</v>
      </c>
      <c r="G10" s="32">
        <v>550000</v>
      </c>
      <c r="H10" s="1" t="s">
        <v>7</v>
      </c>
      <c r="I10" s="1">
        <v>10</v>
      </c>
    </row>
    <row r="11" spans="1:14" x14ac:dyDescent="0.35">
      <c r="A11" s="1">
        <v>124</v>
      </c>
      <c r="B11" s="1" t="s">
        <v>472</v>
      </c>
      <c r="C11" s="24">
        <v>45464</v>
      </c>
      <c r="D11" s="1" t="s">
        <v>25</v>
      </c>
      <c r="E11" s="15" t="s">
        <v>50</v>
      </c>
      <c r="F11" s="1" t="s">
        <v>27</v>
      </c>
      <c r="G11" s="32">
        <v>825000</v>
      </c>
      <c r="H11" s="1" t="s">
        <v>7</v>
      </c>
      <c r="I11" s="1">
        <v>15</v>
      </c>
    </row>
    <row r="12" spans="1:14" x14ac:dyDescent="0.35">
      <c r="A12" s="1">
        <v>125</v>
      </c>
      <c r="B12" s="1" t="s">
        <v>503</v>
      </c>
      <c r="C12" s="24">
        <v>45323</v>
      </c>
      <c r="D12" s="1" t="s">
        <v>25</v>
      </c>
      <c r="E12" s="15" t="s">
        <v>50</v>
      </c>
      <c r="F12" s="1" t="s">
        <v>27</v>
      </c>
      <c r="G12" s="32">
        <v>275000</v>
      </c>
      <c r="H12" s="1" t="s">
        <v>7</v>
      </c>
      <c r="I12" s="1">
        <v>5</v>
      </c>
    </row>
    <row r="13" spans="1:14" x14ac:dyDescent="0.35">
      <c r="A13" s="1">
        <v>126</v>
      </c>
      <c r="B13" s="1" t="s">
        <v>507</v>
      </c>
      <c r="C13" s="24">
        <v>45406</v>
      </c>
      <c r="D13" s="1" t="s">
        <v>25</v>
      </c>
      <c r="E13" s="15" t="s">
        <v>50</v>
      </c>
      <c r="F13" s="1" t="s">
        <v>27</v>
      </c>
      <c r="G13" s="32">
        <v>330000</v>
      </c>
      <c r="H13" s="1" t="s">
        <v>7</v>
      </c>
      <c r="I13" s="1">
        <v>6</v>
      </c>
    </row>
    <row r="14" spans="1:14" x14ac:dyDescent="0.35">
      <c r="A14" s="1">
        <v>127</v>
      </c>
      <c r="B14" s="1" t="s">
        <v>515</v>
      </c>
      <c r="C14" s="24">
        <v>45353</v>
      </c>
      <c r="D14" s="1" t="s">
        <v>25</v>
      </c>
      <c r="E14" s="15" t="s">
        <v>50</v>
      </c>
      <c r="F14" s="1" t="s">
        <v>27</v>
      </c>
      <c r="G14" s="32">
        <v>540000</v>
      </c>
      <c r="H14" s="1" t="s">
        <v>7</v>
      </c>
      <c r="I14" s="1">
        <v>2</v>
      </c>
    </row>
    <row r="15" spans="1:14" x14ac:dyDescent="0.35">
      <c r="A15" s="1">
        <v>128</v>
      </c>
      <c r="B15" s="1" t="s">
        <v>522</v>
      </c>
      <c r="C15" s="24">
        <v>45483</v>
      </c>
      <c r="D15" s="1" t="s">
        <v>25</v>
      </c>
      <c r="E15" s="15" t="s">
        <v>50</v>
      </c>
      <c r="F15" s="1" t="s">
        <v>27</v>
      </c>
      <c r="G15" s="32">
        <v>165000</v>
      </c>
      <c r="H15" s="1" t="s">
        <v>7</v>
      </c>
      <c r="I15" s="1">
        <v>3</v>
      </c>
    </row>
    <row r="16" spans="1:14" x14ac:dyDescent="0.35">
      <c r="A16" s="1">
        <v>129</v>
      </c>
      <c r="B16" s="1" t="s">
        <v>523</v>
      </c>
      <c r="C16" s="24">
        <v>45484</v>
      </c>
      <c r="D16" s="1" t="s">
        <v>25</v>
      </c>
      <c r="E16" s="15" t="s">
        <v>50</v>
      </c>
      <c r="F16" s="1" t="s">
        <v>27</v>
      </c>
      <c r="G16" s="32">
        <v>550000</v>
      </c>
      <c r="H16" s="1" t="s">
        <v>7</v>
      </c>
      <c r="I16" s="1">
        <v>10</v>
      </c>
    </row>
    <row r="17" spans="1:9" x14ac:dyDescent="0.35">
      <c r="A17" s="1">
        <v>130</v>
      </c>
      <c r="B17" s="1" t="s">
        <v>530</v>
      </c>
      <c r="C17" s="24">
        <v>45496</v>
      </c>
      <c r="D17" s="1" t="s">
        <v>25</v>
      </c>
      <c r="E17" s="15" t="s">
        <v>50</v>
      </c>
      <c r="F17" s="1" t="s">
        <v>27</v>
      </c>
      <c r="G17" s="32">
        <v>480000</v>
      </c>
      <c r="H17" s="1" t="s">
        <v>7</v>
      </c>
      <c r="I17" s="1">
        <v>8</v>
      </c>
    </row>
    <row r="18" spans="1:9" x14ac:dyDescent="0.35">
      <c r="A18" s="1">
        <v>131</v>
      </c>
      <c r="B18" s="1" t="s">
        <v>532</v>
      </c>
      <c r="C18" s="24">
        <v>45475</v>
      </c>
      <c r="D18" s="1" t="s">
        <v>25</v>
      </c>
      <c r="E18" s="15" t="s">
        <v>50</v>
      </c>
      <c r="F18" s="1" t="s">
        <v>27</v>
      </c>
      <c r="G18" s="32">
        <v>110000</v>
      </c>
      <c r="H18" s="1" t="s">
        <v>7</v>
      </c>
      <c r="I18" s="1">
        <v>2</v>
      </c>
    </row>
    <row r="19" spans="1:9" x14ac:dyDescent="0.35">
      <c r="A19" s="1">
        <v>132</v>
      </c>
      <c r="B19" s="1" t="s">
        <v>537</v>
      </c>
      <c r="C19" s="24">
        <v>45512</v>
      </c>
      <c r="D19" s="1" t="s">
        <v>25</v>
      </c>
      <c r="E19" s="15" t="s">
        <v>50</v>
      </c>
      <c r="F19" s="1" t="s">
        <v>27</v>
      </c>
      <c r="G19" s="32">
        <v>432000</v>
      </c>
      <c r="H19" s="1" t="s">
        <v>7</v>
      </c>
      <c r="I19" s="1">
        <v>8</v>
      </c>
    </row>
    <row r="20" spans="1:9" x14ac:dyDescent="0.35">
      <c r="A20" s="1">
        <v>133</v>
      </c>
      <c r="B20" s="1" t="s">
        <v>547</v>
      </c>
      <c r="C20" s="24">
        <v>45516</v>
      </c>
      <c r="D20" s="1" t="s">
        <v>25</v>
      </c>
      <c r="E20" s="15" t="s">
        <v>50</v>
      </c>
      <c r="F20" s="1" t="s">
        <v>27</v>
      </c>
      <c r="G20" s="32">
        <v>275000</v>
      </c>
      <c r="H20" s="1" t="s">
        <v>7</v>
      </c>
      <c r="I20" s="1">
        <v>5</v>
      </c>
    </row>
    <row r="21" spans="1:9" x14ac:dyDescent="0.35">
      <c r="A21" s="1">
        <v>134</v>
      </c>
      <c r="B21" s="1" t="s">
        <v>548</v>
      </c>
      <c r="C21" s="24">
        <v>45516</v>
      </c>
      <c r="D21" s="1" t="s">
        <v>25</v>
      </c>
      <c r="E21" s="15" t="s">
        <v>50</v>
      </c>
      <c r="F21" s="1" t="s">
        <v>27</v>
      </c>
      <c r="G21" s="32">
        <v>108000</v>
      </c>
      <c r="H21" s="1" t="s">
        <v>7</v>
      </c>
      <c r="I21" s="1">
        <v>2</v>
      </c>
    </row>
    <row r="22" spans="1:9" x14ac:dyDescent="0.35">
      <c r="A22" s="1">
        <v>135</v>
      </c>
      <c r="B22" s="1" t="s">
        <v>559</v>
      </c>
      <c r="C22" s="24">
        <v>45555</v>
      </c>
      <c r="D22" s="1" t="s">
        <v>25</v>
      </c>
      <c r="E22" s="15" t="s">
        <v>50</v>
      </c>
      <c r="F22" s="1" t="s">
        <v>27</v>
      </c>
      <c r="G22" s="32">
        <v>550000</v>
      </c>
      <c r="H22" s="1" t="s">
        <v>7</v>
      </c>
      <c r="I22" s="1">
        <v>10</v>
      </c>
    </row>
    <row r="23" spans="1:9" x14ac:dyDescent="0.35">
      <c r="A23" s="1">
        <v>136</v>
      </c>
      <c r="B23" s="1" t="s">
        <v>751</v>
      </c>
      <c r="C23" s="24">
        <v>45580</v>
      </c>
      <c r="D23" s="1" t="s">
        <v>25</v>
      </c>
      <c r="E23" s="15" t="s">
        <v>50</v>
      </c>
      <c r="F23" s="1" t="s">
        <v>27</v>
      </c>
      <c r="G23" s="32">
        <v>270000</v>
      </c>
      <c r="H23" s="1" t="s">
        <v>7</v>
      </c>
      <c r="I23" s="1">
        <v>5</v>
      </c>
    </row>
    <row r="24" spans="1:9" x14ac:dyDescent="0.35">
      <c r="A24" s="1">
        <v>137</v>
      </c>
      <c r="B24" s="1" t="s">
        <v>751</v>
      </c>
      <c r="C24" s="24">
        <v>45597</v>
      </c>
      <c r="D24" s="1" t="s">
        <v>25</v>
      </c>
      <c r="E24" s="15" t="s">
        <v>50</v>
      </c>
      <c r="F24" s="1" t="s">
        <v>27</v>
      </c>
      <c r="G24" s="32">
        <v>275000</v>
      </c>
      <c r="H24" s="1" t="s">
        <v>7</v>
      </c>
      <c r="I24" s="1">
        <v>5</v>
      </c>
    </row>
    <row r="25" spans="1:9" x14ac:dyDescent="0.35">
      <c r="A25" s="1">
        <v>138</v>
      </c>
      <c r="B25" s="1" t="s">
        <v>752</v>
      </c>
      <c r="C25" s="24">
        <v>45583</v>
      </c>
      <c r="D25" s="1" t="s">
        <v>25</v>
      </c>
      <c r="E25" s="15" t="s">
        <v>50</v>
      </c>
      <c r="F25" s="1" t="s">
        <v>27</v>
      </c>
      <c r="G25" s="32">
        <v>432000</v>
      </c>
      <c r="H25" s="1" t="s">
        <v>7</v>
      </c>
      <c r="I25" s="1">
        <v>8</v>
      </c>
    </row>
    <row r="26" spans="1:9" x14ac:dyDescent="0.35">
      <c r="A26" s="1">
        <v>139</v>
      </c>
      <c r="B26" s="1" t="s">
        <v>752</v>
      </c>
      <c r="C26" s="24">
        <v>45600</v>
      </c>
      <c r="D26" s="1" t="s">
        <v>25</v>
      </c>
      <c r="E26" s="15" t="s">
        <v>50</v>
      </c>
      <c r="F26" s="1" t="s">
        <v>27</v>
      </c>
      <c r="G26" s="32">
        <v>295000</v>
      </c>
      <c r="H26" s="1" t="s">
        <v>7</v>
      </c>
      <c r="I26" s="1">
        <v>5</v>
      </c>
    </row>
    <row r="27" spans="1:9" x14ac:dyDescent="0.35">
      <c r="A27" s="1">
        <v>140</v>
      </c>
      <c r="B27" s="1" t="s">
        <v>753</v>
      </c>
      <c r="C27" s="24">
        <v>45603</v>
      </c>
      <c r="D27" s="1" t="s">
        <v>25</v>
      </c>
      <c r="E27" s="15" t="s">
        <v>50</v>
      </c>
      <c r="F27" s="1" t="s">
        <v>27</v>
      </c>
      <c r="G27" s="32">
        <v>295000</v>
      </c>
      <c r="H27" s="1" t="s">
        <v>7</v>
      </c>
      <c r="I27" s="1">
        <v>5</v>
      </c>
    </row>
    <row r="28" spans="1:9" x14ac:dyDescent="0.35">
      <c r="A28" s="1">
        <v>141</v>
      </c>
      <c r="B28" s="1" t="s">
        <v>755</v>
      </c>
      <c r="C28" s="24">
        <v>45610</v>
      </c>
      <c r="D28" s="1" t="s">
        <v>25</v>
      </c>
      <c r="E28" s="15" t="s">
        <v>50</v>
      </c>
      <c r="F28" s="1" t="s">
        <v>27</v>
      </c>
      <c r="G28" s="32">
        <v>540000</v>
      </c>
      <c r="H28" s="1" t="s">
        <v>7</v>
      </c>
      <c r="I28" s="1">
        <v>10</v>
      </c>
    </row>
    <row r="29" spans="1:9" x14ac:dyDescent="0.35">
      <c r="A29" s="1">
        <v>142</v>
      </c>
      <c r="B29" s="1" t="s">
        <v>756</v>
      </c>
      <c r="C29" s="24">
        <v>45618</v>
      </c>
      <c r="D29" s="1" t="s">
        <v>25</v>
      </c>
      <c r="E29" s="15" t="s">
        <v>50</v>
      </c>
      <c r="F29" s="1" t="s">
        <v>27</v>
      </c>
      <c r="G29" s="32">
        <v>270000</v>
      </c>
      <c r="H29" s="1" t="s">
        <v>7</v>
      </c>
      <c r="I29" s="1">
        <v>5</v>
      </c>
    </row>
    <row r="30" spans="1:9" x14ac:dyDescent="0.35">
      <c r="A30" s="1">
        <v>143</v>
      </c>
      <c r="B30" s="1" t="s">
        <v>766</v>
      </c>
      <c r="C30" s="24">
        <v>45645</v>
      </c>
      <c r="D30" s="1" t="s">
        <v>25</v>
      </c>
      <c r="E30" s="15" t="s">
        <v>50</v>
      </c>
      <c r="F30" s="1" t="s">
        <v>27</v>
      </c>
      <c r="G30" s="32">
        <v>540000</v>
      </c>
      <c r="H30" s="1" t="s">
        <v>7</v>
      </c>
      <c r="I30" s="1">
        <v>10</v>
      </c>
    </row>
    <row r="31" spans="1:9" x14ac:dyDescent="0.35">
      <c r="A31" s="1">
        <v>144</v>
      </c>
      <c r="B31" s="1" t="s">
        <v>775</v>
      </c>
      <c r="C31" s="24">
        <v>45645</v>
      </c>
      <c r="D31" s="1" t="s">
        <v>25</v>
      </c>
      <c r="E31" s="15" t="s">
        <v>50</v>
      </c>
      <c r="F31" s="1" t="s">
        <v>27</v>
      </c>
      <c r="G31" s="32">
        <v>432000</v>
      </c>
      <c r="H31" s="1" t="s">
        <v>7</v>
      </c>
      <c r="I31" s="1">
        <v>8</v>
      </c>
    </row>
    <row r="32" spans="1:9" x14ac:dyDescent="0.35">
      <c r="A32" s="1">
        <v>145</v>
      </c>
      <c r="B32" s="1" t="s">
        <v>779</v>
      </c>
      <c r="C32" s="24">
        <v>45638</v>
      </c>
      <c r="D32" s="1" t="s">
        <v>25</v>
      </c>
      <c r="E32" s="15" t="s">
        <v>50</v>
      </c>
      <c r="F32" s="1" t="s">
        <v>27</v>
      </c>
      <c r="G32" s="32">
        <v>220000</v>
      </c>
      <c r="H32" s="1" t="s">
        <v>7</v>
      </c>
      <c r="I32" s="1">
        <v>4</v>
      </c>
    </row>
    <row r="33" spans="1:9" x14ac:dyDescent="0.35">
      <c r="A33" s="1">
        <v>146</v>
      </c>
      <c r="B33" s="1" t="s">
        <v>780</v>
      </c>
      <c r="C33" s="24">
        <v>45638</v>
      </c>
      <c r="D33" s="1" t="s">
        <v>25</v>
      </c>
      <c r="E33" s="15" t="s">
        <v>50</v>
      </c>
      <c r="F33" s="1" t="s">
        <v>27</v>
      </c>
      <c r="G33" s="32">
        <v>330000</v>
      </c>
      <c r="H33" s="1" t="s">
        <v>7</v>
      </c>
      <c r="I33" s="1">
        <v>6</v>
      </c>
    </row>
    <row r="34" spans="1:9" x14ac:dyDescent="0.35">
      <c r="A34" s="1">
        <v>147</v>
      </c>
      <c r="B34" s="1" t="s">
        <v>301</v>
      </c>
      <c r="C34" s="24">
        <v>45327</v>
      </c>
      <c r="D34" s="1" t="s">
        <v>48</v>
      </c>
      <c r="E34" s="15" t="s">
        <v>49</v>
      </c>
      <c r="F34" s="1" t="s">
        <v>27</v>
      </c>
      <c r="G34" s="32"/>
      <c r="H34" s="1" t="s">
        <v>7</v>
      </c>
      <c r="I34" s="1">
        <v>5</v>
      </c>
    </row>
    <row r="35" spans="1:9" x14ac:dyDescent="0.35">
      <c r="A35" s="1">
        <v>148</v>
      </c>
      <c r="B35" s="1" t="s">
        <v>563</v>
      </c>
      <c r="C35" s="24">
        <v>45555</v>
      </c>
      <c r="D35" s="1" t="s">
        <v>560</v>
      </c>
      <c r="E35" s="15" t="s">
        <v>561</v>
      </c>
      <c r="F35" s="1" t="s">
        <v>562</v>
      </c>
      <c r="G35" s="32">
        <v>90000</v>
      </c>
      <c r="H35" s="1" t="s">
        <v>7</v>
      </c>
      <c r="I35" s="1">
        <v>3</v>
      </c>
    </row>
    <row r="36" spans="1:9" x14ac:dyDescent="0.35">
      <c r="A36" s="1">
        <v>149</v>
      </c>
      <c r="B36" s="1" t="s">
        <v>267</v>
      </c>
      <c r="C36" s="24">
        <v>45325</v>
      </c>
      <c r="D36" s="1" t="s">
        <v>103</v>
      </c>
      <c r="E36" s="15" t="s">
        <v>104</v>
      </c>
      <c r="F36" s="1" t="s">
        <v>106</v>
      </c>
      <c r="G36" s="32"/>
      <c r="H36" s="1" t="s">
        <v>7</v>
      </c>
      <c r="I36" s="1">
        <v>1</v>
      </c>
    </row>
    <row r="37" spans="1:9" x14ac:dyDescent="0.35">
      <c r="A37" s="1">
        <v>150</v>
      </c>
      <c r="B37" s="1" t="s">
        <v>707</v>
      </c>
      <c r="C37" s="24">
        <v>45577</v>
      </c>
      <c r="D37" s="1" t="s">
        <v>638</v>
      </c>
      <c r="E37" s="15" t="s">
        <v>639</v>
      </c>
      <c r="F37" s="1" t="s">
        <v>562</v>
      </c>
      <c r="G37" s="32">
        <v>63000</v>
      </c>
      <c r="H37" s="1" t="s">
        <v>7</v>
      </c>
      <c r="I37" s="1">
        <v>6</v>
      </c>
    </row>
    <row r="38" spans="1:9" x14ac:dyDescent="0.35">
      <c r="A38" s="1">
        <v>151</v>
      </c>
      <c r="B38" s="1" t="s">
        <v>754</v>
      </c>
      <c r="C38" s="24">
        <v>45609</v>
      </c>
      <c r="D38" s="1" t="s">
        <v>763</v>
      </c>
      <c r="E38" s="15" t="s">
        <v>764</v>
      </c>
      <c r="F38" s="1" t="s">
        <v>106</v>
      </c>
      <c r="G38" s="32">
        <v>60000</v>
      </c>
      <c r="H38" s="1" t="s">
        <v>7</v>
      </c>
      <c r="I38" s="1">
        <v>1</v>
      </c>
    </row>
    <row r="39" spans="1:9" x14ac:dyDescent="0.35">
      <c r="A39" s="1">
        <v>152</v>
      </c>
      <c r="B39" s="1" t="s">
        <v>259</v>
      </c>
      <c r="C39" s="24">
        <v>45325</v>
      </c>
      <c r="D39" s="1" t="s">
        <v>198</v>
      </c>
      <c r="E39" s="15" t="s">
        <v>199</v>
      </c>
      <c r="F39" s="1" t="s">
        <v>106</v>
      </c>
      <c r="G39" s="32"/>
      <c r="H39" s="1" t="s">
        <v>7</v>
      </c>
      <c r="I39" s="1">
        <v>1</v>
      </c>
    </row>
    <row r="40" spans="1:9" x14ac:dyDescent="0.35">
      <c r="A40" s="1">
        <v>153</v>
      </c>
      <c r="B40" s="1" t="s">
        <v>326</v>
      </c>
      <c r="C40" s="24">
        <v>45370</v>
      </c>
      <c r="D40" s="1" t="s">
        <v>198</v>
      </c>
      <c r="E40" s="15" t="s">
        <v>199</v>
      </c>
      <c r="F40" s="1" t="s">
        <v>106</v>
      </c>
      <c r="G40" s="32"/>
      <c r="H40" s="1" t="s">
        <v>7</v>
      </c>
      <c r="I40" s="1">
        <v>2</v>
      </c>
    </row>
    <row r="41" spans="1:9" x14ac:dyDescent="0.35">
      <c r="A41" s="1">
        <v>167</v>
      </c>
      <c r="B41" s="1" t="s">
        <v>212</v>
      </c>
      <c r="C41" s="24">
        <v>45299</v>
      </c>
      <c r="D41" s="1" t="s">
        <v>288</v>
      </c>
      <c r="E41" s="15" t="s">
        <v>289</v>
      </c>
      <c r="F41" s="1" t="s">
        <v>30</v>
      </c>
      <c r="G41" s="32"/>
      <c r="H41" s="1" t="s">
        <v>7</v>
      </c>
      <c r="I41" s="1">
        <v>1</v>
      </c>
    </row>
    <row r="42" spans="1:9" x14ac:dyDescent="0.35">
      <c r="A42" s="1">
        <v>309</v>
      </c>
      <c r="B42" s="1" t="s">
        <v>841</v>
      </c>
      <c r="C42" s="24">
        <v>45688</v>
      </c>
      <c r="D42" s="1" t="s">
        <v>25</v>
      </c>
      <c r="E42" s="15" t="s">
        <v>50</v>
      </c>
      <c r="F42" s="1" t="s">
        <v>27</v>
      </c>
      <c r="G42" s="32">
        <v>295000</v>
      </c>
      <c r="H42" s="1" t="s">
        <v>7</v>
      </c>
      <c r="I42" s="1">
        <v>5</v>
      </c>
    </row>
    <row r="43" spans="1:9" x14ac:dyDescent="0.35">
      <c r="A43" s="1">
        <v>310</v>
      </c>
      <c r="B43" s="1" t="s">
        <v>844</v>
      </c>
      <c r="C43" s="24">
        <v>45677</v>
      </c>
      <c r="D43" s="1" t="s">
        <v>25</v>
      </c>
      <c r="E43" s="15" t="s">
        <v>50</v>
      </c>
      <c r="F43" s="1" t="s">
        <v>27</v>
      </c>
      <c r="G43" s="32">
        <v>270000</v>
      </c>
      <c r="H43" s="1" t="s">
        <v>7</v>
      </c>
      <c r="I43" s="1">
        <v>5</v>
      </c>
    </row>
    <row r="44" spans="1:9" x14ac:dyDescent="0.35">
      <c r="A44" s="1">
        <v>311</v>
      </c>
      <c r="B44" s="1" t="s">
        <v>848</v>
      </c>
      <c r="C44" s="24">
        <v>45700</v>
      </c>
      <c r="D44" s="1" t="s">
        <v>25</v>
      </c>
      <c r="E44" s="15" t="s">
        <v>50</v>
      </c>
      <c r="F44" s="1" t="s">
        <v>27</v>
      </c>
      <c r="G44" s="32">
        <v>275000</v>
      </c>
      <c r="H44" s="1" t="s">
        <v>7</v>
      </c>
      <c r="I44" s="1">
        <v>5</v>
      </c>
    </row>
    <row r="45" spans="1:9" x14ac:dyDescent="0.35">
      <c r="A45" s="1">
        <v>312</v>
      </c>
      <c r="B45" s="1" t="s">
        <v>849</v>
      </c>
      <c r="C45" s="24">
        <v>45727</v>
      </c>
      <c r="D45" s="1" t="s">
        <v>25</v>
      </c>
      <c r="E45" s="15" t="s">
        <v>50</v>
      </c>
      <c r="F45" s="1" t="s">
        <v>27</v>
      </c>
      <c r="G45" s="32">
        <v>250000</v>
      </c>
      <c r="H45" s="1" t="s">
        <v>7</v>
      </c>
      <c r="I45" s="1">
        <v>5</v>
      </c>
    </row>
    <row r="46" spans="1:9" x14ac:dyDescent="0.35">
      <c r="A46" s="1">
        <v>327</v>
      </c>
      <c r="B46" s="1" t="s">
        <v>877</v>
      </c>
      <c r="C46" s="24">
        <v>45731</v>
      </c>
      <c r="D46" s="1" t="s">
        <v>638</v>
      </c>
      <c r="E46" s="15" t="s">
        <v>639</v>
      </c>
      <c r="F46" s="1" t="s">
        <v>562</v>
      </c>
      <c r="G46" s="32">
        <v>42000</v>
      </c>
      <c r="H46" s="1" t="s">
        <v>7</v>
      </c>
      <c r="I46" s="1">
        <v>4</v>
      </c>
    </row>
    <row r="47" spans="1:9" x14ac:dyDescent="0.35">
      <c r="A47" s="1">
        <v>331</v>
      </c>
      <c r="B47" s="1" t="s">
        <v>908</v>
      </c>
      <c r="C47" s="24">
        <v>45758</v>
      </c>
      <c r="D47" s="1" t="s">
        <v>25</v>
      </c>
      <c r="E47" s="15" t="s">
        <v>50</v>
      </c>
      <c r="F47" s="1" t="s">
        <v>27</v>
      </c>
      <c r="G47" s="32">
        <v>290000</v>
      </c>
      <c r="H47" s="1" t="s">
        <v>7</v>
      </c>
      <c r="I47" s="1">
        <v>5</v>
      </c>
    </row>
    <row r="48" spans="1:9" x14ac:dyDescent="0.35">
      <c r="A48" s="1">
        <v>334</v>
      </c>
      <c r="B48" s="1" t="s">
        <v>923</v>
      </c>
      <c r="C48" s="24">
        <v>45788</v>
      </c>
      <c r="D48" s="1" t="s">
        <v>25</v>
      </c>
      <c r="E48" s="15" t="s">
        <v>50</v>
      </c>
      <c r="F48" s="1" t="s">
        <v>27</v>
      </c>
      <c r="G48" s="32">
        <v>468000</v>
      </c>
      <c r="H48" s="1" t="s">
        <v>7</v>
      </c>
      <c r="I48" s="1">
        <v>10</v>
      </c>
    </row>
    <row r="49" spans="1:9" x14ac:dyDescent="0.35">
      <c r="A49" s="1">
        <v>335</v>
      </c>
      <c r="B49" s="1" t="s">
        <v>924</v>
      </c>
      <c r="C49" s="24">
        <v>45788</v>
      </c>
      <c r="D49" s="1" t="s">
        <v>103</v>
      </c>
      <c r="E49" s="15" t="s">
        <v>104</v>
      </c>
      <c r="F49" s="1" t="s">
        <v>106</v>
      </c>
      <c r="G49" s="32">
        <v>52000</v>
      </c>
      <c r="H49" s="1" t="s">
        <v>7</v>
      </c>
      <c r="I49" s="1">
        <v>1</v>
      </c>
    </row>
    <row r="50" spans="1:9" x14ac:dyDescent="0.35">
      <c r="A50" s="1">
        <v>336</v>
      </c>
      <c r="B50" s="1" t="s">
        <v>925</v>
      </c>
      <c r="C50" s="24">
        <v>45788</v>
      </c>
      <c r="D50" s="1" t="s">
        <v>198</v>
      </c>
      <c r="E50" s="15" t="s">
        <v>199</v>
      </c>
      <c r="F50" s="1" t="s">
        <v>106</v>
      </c>
      <c r="G50" s="32">
        <v>26000</v>
      </c>
      <c r="H50" s="1" t="s">
        <v>7</v>
      </c>
      <c r="I50" s="1">
        <v>2</v>
      </c>
    </row>
    <row r="51" spans="1:9" x14ac:dyDescent="0.35">
      <c r="A51" s="1">
        <v>338</v>
      </c>
      <c r="B51" s="1" t="s">
        <v>933</v>
      </c>
      <c r="C51" s="24">
        <v>45788</v>
      </c>
      <c r="D51" s="1" t="s">
        <v>927</v>
      </c>
      <c r="E51" s="15" t="s">
        <v>928</v>
      </c>
      <c r="F51" s="1" t="s">
        <v>47</v>
      </c>
      <c r="G51" s="32">
        <v>5000</v>
      </c>
      <c r="H51" s="1" t="s">
        <v>7</v>
      </c>
      <c r="I51" s="1">
        <v>5</v>
      </c>
    </row>
    <row r="52" spans="1:9" x14ac:dyDescent="0.35">
      <c r="A52" s="1">
        <v>339</v>
      </c>
      <c r="B52" s="1" t="s">
        <v>934</v>
      </c>
      <c r="C52" s="24">
        <v>45788</v>
      </c>
      <c r="D52" s="1" t="s">
        <v>929</v>
      </c>
      <c r="E52" s="15" t="s">
        <v>930</v>
      </c>
      <c r="F52" s="1" t="s">
        <v>47</v>
      </c>
      <c r="G52" s="32">
        <v>7500</v>
      </c>
      <c r="H52" s="1" t="s">
        <v>7</v>
      </c>
      <c r="I52" s="1">
        <v>5</v>
      </c>
    </row>
    <row r="53" spans="1:9" x14ac:dyDescent="0.35">
      <c r="A53" s="1">
        <v>362</v>
      </c>
      <c r="B53" s="1" t="s">
        <v>1039</v>
      </c>
      <c r="C53" s="24">
        <v>45804</v>
      </c>
      <c r="D53" s="1" t="s">
        <v>25</v>
      </c>
      <c r="E53" s="15" t="s">
        <v>50</v>
      </c>
      <c r="F53" s="1" t="s">
        <v>27</v>
      </c>
      <c r="G53" s="32">
        <v>275000</v>
      </c>
      <c r="H53" s="1" t="s">
        <v>7</v>
      </c>
      <c r="I53" s="1">
        <v>5</v>
      </c>
    </row>
    <row r="54" spans="1:9" x14ac:dyDescent="0.35">
      <c r="A54" s="1">
        <v>368</v>
      </c>
      <c r="B54" s="1" t="s">
        <v>999</v>
      </c>
      <c r="C54" s="24">
        <v>45709</v>
      </c>
      <c r="D54" s="1" t="s">
        <v>25</v>
      </c>
      <c r="E54" s="15" t="s">
        <v>50</v>
      </c>
      <c r="F54" s="1" t="s">
        <v>27</v>
      </c>
      <c r="G54" s="32">
        <v>385000</v>
      </c>
      <c r="H54" s="1" t="s">
        <v>7</v>
      </c>
      <c r="I54" s="1">
        <v>7</v>
      </c>
    </row>
    <row r="55" spans="1:9" x14ac:dyDescent="0.35">
      <c r="A55" s="1">
        <v>373</v>
      </c>
      <c r="B55" s="1" t="s">
        <v>1012</v>
      </c>
      <c r="C55" s="24">
        <v>45705</v>
      </c>
      <c r="D55" s="1" t="s">
        <v>25</v>
      </c>
      <c r="E55" s="15" t="s">
        <v>50</v>
      </c>
      <c r="F55" s="1" t="s">
        <v>27</v>
      </c>
      <c r="G55" s="32">
        <v>440000</v>
      </c>
      <c r="H55" s="1" t="s">
        <v>7</v>
      </c>
      <c r="I55" s="1">
        <v>8</v>
      </c>
    </row>
    <row r="56" spans="1:9" x14ac:dyDescent="0.35">
      <c r="A56" s="1">
        <v>380</v>
      </c>
      <c r="B56" s="1" t="s">
        <v>1029</v>
      </c>
      <c r="C56" s="24">
        <v>45702</v>
      </c>
      <c r="D56" s="1" t="s">
        <v>1027</v>
      </c>
      <c r="E56" s="15" t="s">
        <v>1028</v>
      </c>
      <c r="F56" s="1" t="s">
        <v>47</v>
      </c>
      <c r="G56" s="32">
        <v>25000</v>
      </c>
      <c r="H56" s="1" t="s">
        <v>7</v>
      </c>
      <c r="I56" s="1">
        <v>5</v>
      </c>
    </row>
    <row r="57" spans="1:9" x14ac:dyDescent="0.35">
      <c r="A57" s="1">
        <v>381</v>
      </c>
      <c r="B57" s="1" t="s">
        <v>1031</v>
      </c>
      <c r="C57" s="24">
        <v>45776</v>
      </c>
      <c r="D57" s="1" t="s">
        <v>25</v>
      </c>
      <c r="E57" s="15" t="s">
        <v>50</v>
      </c>
      <c r="F57" s="1" t="s">
        <v>27</v>
      </c>
      <c r="G57" s="32">
        <v>250000</v>
      </c>
      <c r="H57" s="1" t="s">
        <v>7</v>
      </c>
      <c r="I57" s="1">
        <v>5</v>
      </c>
    </row>
    <row r="58" spans="1:9" x14ac:dyDescent="0.35">
      <c r="A58" s="1">
        <v>383</v>
      </c>
      <c r="B58" s="1" t="s">
        <v>1035</v>
      </c>
      <c r="C58" s="24">
        <v>45770</v>
      </c>
      <c r="D58" s="1" t="s">
        <v>25</v>
      </c>
      <c r="E58" s="15" t="s">
        <v>50</v>
      </c>
      <c r="F58" s="1" t="s">
        <v>27</v>
      </c>
      <c r="G58" s="32">
        <v>250000</v>
      </c>
      <c r="H58" s="1" t="s">
        <v>7</v>
      </c>
      <c r="I58" s="1">
        <v>5</v>
      </c>
    </row>
    <row r="59" spans="1:9" x14ac:dyDescent="0.35">
      <c r="A59" s="1">
        <v>385</v>
      </c>
      <c r="B59" s="1" t="s">
        <v>1039</v>
      </c>
      <c r="C59" s="24">
        <v>45788</v>
      </c>
      <c r="D59" s="1" t="s">
        <v>1041</v>
      </c>
      <c r="E59" s="15" t="s">
        <v>1042</v>
      </c>
      <c r="F59" s="1" t="s">
        <v>27</v>
      </c>
      <c r="G59" s="32">
        <v>98500</v>
      </c>
      <c r="H59" s="1" t="s">
        <v>7</v>
      </c>
      <c r="I59" s="1">
        <v>1</v>
      </c>
    </row>
    <row r="60" spans="1:9" x14ac:dyDescent="0.35">
      <c r="A60" s="1">
        <v>393</v>
      </c>
      <c r="B60" s="1" t="s">
        <v>1052</v>
      </c>
      <c r="C60" s="24">
        <v>45832</v>
      </c>
      <c r="D60" s="1" t="s">
        <v>25</v>
      </c>
      <c r="E60" s="15" t="s">
        <v>50</v>
      </c>
      <c r="F60" s="1" t="s">
        <v>27</v>
      </c>
      <c r="G60" s="32">
        <v>275000</v>
      </c>
      <c r="H60" s="1" t="s">
        <v>7</v>
      </c>
      <c r="I60" s="1">
        <v>5</v>
      </c>
    </row>
    <row r="61" spans="1:9" x14ac:dyDescent="0.35">
      <c r="A61" s="1">
        <v>394</v>
      </c>
      <c r="B61" s="1" t="s">
        <v>1088</v>
      </c>
      <c r="C61" s="24">
        <v>45853</v>
      </c>
      <c r="D61" s="1" t="s">
        <v>25</v>
      </c>
      <c r="E61" s="15" t="s">
        <v>50</v>
      </c>
      <c r="F61" s="1" t="s">
        <v>27</v>
      </c>
      <c r="G61" s="32">
        <v>300000</v>
      </c>
      <c r="H61" s="1" t="s">
        <v>7</v>
      </c>
      <c r="I61" s="1">
        <v>5</v>
      </c>
    </row>
    <row r="62" spans="1:9" x14ac:dyDescent="0.35">
      <c r="A62" s="1">
        <v>395</v>
      </c>
      <c r="B62" s="1" t="s">
        <v>1089</v>
      </c>
      <c r="C62" s="24">
        <v>45839</v>
      </c>
      <c r="D62" s="1" t="s">
        <v>25</v>
      </c>
      <c r="E62" s="15" t="s">
        <v>50</v>
      </c>
      <c r="F62" s="1" t="s">
        <v>27</v>
      </c>
      <c r="G62" s="32">
        <v>255000</v>
      </c>
      <c r="H62" s="1" t="s">
        <v>7</v>
      </c>
      <c r="I62" s="1">
        <v>5</v>
      </c>
    </row>
    <row r="63" spans="1:9" x14ac:dyDescent="0.35">
      <c r="A63" s="1">
        <v>400</v>
      </c>
      <c r="B63" s="1" t="s">
        <v>1121</v>
      </c>
      <c r="C63" s="24">
        <v>45857</v>
      </c>
      <c r="D63" s="1" t="s">
        <v>638</v>
      </c>
      <c r="E63" s="15" t="s">
        <v>639</v>
      </c>
      <c r="F63" s="1" t="s">
        <v>562</v>
      </c>
      <c r="G63" s="32">
        <v>31500</v>
      </c>
      <c r="H63" s="1" t="s">
        <v>7</v>
      </c>
      <c r="I63" s="1">
        <v>3</v>
      </c>
    </row>
    <row r="64" spans="1:9" x14ac:dyDescent="0.35">
      <c r="A64" s="1">
        <v>413</v>
      </c>
      <c r="B64" s="1" t="s">
        <v>1142</v>
      </c>
      <c r="C64" s="24">
        <v>45866</v>
      </c>
      <c r="D64" s="1" t="s">
        <v>25</v>
      </c>
      <c r="E64" s="15" t="s">
        <v>50</v>
      </c>
      <c r="F64" s="1" t="s">
        <v>27</v>
      </c>
      <c r="G64" s="32">
        <v>275000</v>
      </c>
      <c r="H64" s="1" t="s">
        <v>7</v>
      </c>
      <c r="I64" s="1">
        <v>5</v>
      </c>
    </row>
    <row r="65" spans="1:9" x14ac:dyDescent="0.35">
      <c r="A65" s="1">
        <v>414</v>
      </c>
      <c r="B65" s="1" t="s">
        <v>1148</v>
      </c>
      <c r="C65" s="24">
        <v>45876</v>
      </c>
      <c r="D65" s="1" t="s">
        <v>25</v>
      </c>
      <c r="E65" s="15" t="s">
        <v>50</v>
      </c>
      <c r="F65" s="1" t="s">
        <v>27</v>
      </c>
      <c r="G65" s="32">
        <v>255000</v>
      </c>
      <c r="H65" s="1" t="s">
        <v>7</v>
      </c>
      <c r="I65" s="1">
        <v>5</v>
      </c>
    </row>
    <row r="66" spans="1:9" x14ac:dyDescent="0.35">
      <c r="A66" s="1">
        <v>425</v>
      </c>
      <c r="B66" s="1" t="s">
        <v>1175</v>
      </c>
      <c r="C66" s="24">
        <v>45882</v>
      </c>
      <c r="D66" s="1" t="s">
        <v>25</v>
      </c>
      <c r="E66" s="15" t="s">
        <v>50</v>
      </c>
      <c r="F66" s="1" t="s">
        <v>27</v>
      </c>
      <c r="G66" s="32">
        <v>275000</v>
      </c>
      <c r="H66" s="1" t="s">
        <v>7</v>
      </c>
      <c r="I66" s="1">
        <v>5</v>
      </c>
    </row>
    <row r="67" spans="1:9" x14ac:dyDescent="0.35">
      <c r="A67" s="1">
        <v>426</v>
      </c>
      <c r="B67" s="1" t="s">
        <v>1176</v>
      </c>
      <c r="C67" s="24">
        <v>45897</v>
      </c>
      <c r="D67" s="1" t="s">
        <v>25</v>
      </c>
      <c r="E67" s="15" t="s">
        <v>50</v>
      </c>
      <c r="F67" s="1" t="s">
        <v>27</v>
      </c>
      <c r="G67" s="32">
        <v>275000</v>
      </c>
      <c r="H67" s="1" t="s">
        <v>7</v>
      </c>
      <c r="I67" s="1">
        <v>5</v>
      </c>
    </row>
    <row r="68" spans="1:9" x14ac:dyDescent="0.35">
      <c r="A68" s="1">
        <v>427</v>
      </c>
      <c r="B68" s="1" t="s">
        <v>1203</v>
      </c>
      <c r="C68" s="24">
        <v>45915</v>
      </c>
      <c r="D68" s="1" t="s">
        <v>25</v>
      </c>
      <c r="E68" s="15" t="s">
        <v>50</v>
      </c>
      <c r="F68" s="1" t="s">
        <v>27</v>
      </c>
      <c r="G68" s="32">
        <v>260000</v>
      </c>
      <c r="H68" s="1" t="s">
        <v>7</v>
      </c>
      <c r="I68" s="1">
        <v>5</v>
      </c>
    </row>
    <row r="69" spans="1:9" x14ac:dyDescent="0.35">
      <c r="A69" s="1">
        <v>428</v>
      </c>
      <c r="B69" s="1" t="s">
        <v>1215</v>
      </c>
      <c r="C69" s="24">
        <v>45919</v>
      </c>
      <c r="D69" s="1" t="s">
        <v>198</v>
      </c>
      <c r="E69" s="15" t="s">
        <v>199</v>
      </c>
      <c r="F69" s="1" t="s">
        <v>106</v>
      </c>
      <c r="G69" s="32">
        <v>40000</v>
      </c>
      <c r="H69" s="1" t="s">
        <v>7</v>
      </c>
      <c r="I69" s="1">
        <v>2</v>
      </c>
    </row>
    <row r="70" spans="1:9" x14ac:dyDescent="0.35">
      <c r="A70" s="1">
        <v>445</v>
      </c>
      <c r="B70" s="1" t="s">
        <v>1249</v>
      </c>
      <c r="C70" s="24">
        <v>45931</v>
      </c>
      <c r="D70" s="1" t="s">
        <v>25</v>
      </c>
      <c r="E70" s="15" t="s">
        <v>50</v>
      </c>
      <c r="F70" s="1" t="s">
        <v>27</v>
      </c>
      <c r="G70" s="32">
        <v>2175600</v>
      </c>
      <c r="H70" s="1" t="s">
        <v>7</v>
      </c>
      <c r="I70" s="1">
        <v>40</v>
      </c>
    </row>
    <row r="71" spans="1:9" x14ac:dyDescent="0.35">
      <c r="A71" s="1">
        <v>446</v>
      </c>
      <c r="B71" s="1" t="s">
        <v>1250</v>
      </c>
      <c r="C71" s="24">
        <v>45931</v>
      </c>
      <c r="D71" s="1" t="s">
        <v>48</v>
      </c>
      <c r="E71" s="15" t="s">
        <v>49</v>
      </c>
      <c r="F71" s="1" t="s">
        <v>27</v>
      </c>
      <c r="G71" s="32">
        <v>305250</v>
      </c>
      <c r="H71" s="1" t="s">
        <v>7</v>
      </c>
      <c r="I71" s="1">
        <v>5</v>
      </c>
    </row>
    <row r="72" spans="1:9" x14ac:dyDescent="0.35">
      <c r="A72" s="1">
        <v>455</v>
      </c>
      <c r="B72" s="1" t="s">
        <v>1289</v>
      </c>
      <c r="C72" s="24">
        <v>46005</v>
      </c>
      <c r="D72" s="1" t="s">
        <v>25</v>
      </c>
      <c r="E72" s="15" t="s">
        <v>50</v>
      </c>
      <c r="F72" s="1" t="s">
        <v>27</v>
      </c>
      <c r="G72" s="32">
        <v>886000</v>
      </c>
      <c r="H72" s="1" t="s">
        <v>7</v>
      </c>
      <c r="I72" s="1">
        <v>20</v>
      </c>
    </row>
    <row r="73" spans="1:9" x14ac:dyDescent="0.35">
      <c r="A73" s="1">
        <v>492</v>
      </c>
      <c r="B73" s="1" t="s">
        <v>1382</v>
      </c>
      <c r="C73" s="24">
        <v>46005</v>
      </c>
      <c r="D73" s="1" t="s">
        <v>103</v>
      </c>
      <c r="E73" s="15" t="s">
        <v>104</v>
      </c>
      <c r="F73" s="1" t="s">
        <v>106</v>
      </c>
      <c r="G73" s="32">
        <v>52000</v>
      </c>
      <c r="H73" s="1" t="s">
        <v>7</v>
      </c>
      <c r="I73" s="1">
        <v>1</v>
      </c>
    </row>
    <row r="74" spans="1:9" x14ac:dyDescent="0.35">
      <c r="A74" s="1">
        <v>540</v>
      </c>
      <c r="B74" s="1" t="s">
        <v>1501</v>
      </c>
      <c r="C74" s="24">
        <v>46007</v>
      </c>
      <c r="D74" s="1" t="s">
        <v>25</v>
      </c>
      <c r="E74" s="15" t="s">
        <v>50</v>
      </c>
      <c r="F74" s="1" t="s">
        <v>27</v>
      </c>
      <c r="G74" s="32">
        <v>540000</v>
      </c>
      <c r="H74" s="1" t="s">
        <v>7</v>
      </c>
      <c r="I74" s="1">
        <v>10</v>
      </c>
    </row>
    <row r="75" spans="1:9" x14ac:dyDescent="0.35">
      <c r="A75" s="1">
        <v>541</v>
      </c>
      <c r="B75" s="1" t="s">
        <v>1504</v>
      </c>
      <c r="C75" s="24">
        <v>46013</v>
      </c>
      <c r="D75" s="1" t="s">
        <v>25</v>
      </c>
      <c r="E75" s="15" t="s">
        <v>50</v>
      </c>
      <c r="F75" s="1" t="s">
        <v>27</v>
      </c>
      <c r="G75" s="32">
        <v>440000</v>
      </c>
      <c r="H75" s="1" t="s">
        <v>7</v>
      </c>
      <c r="I75" s="1">
        <v>8</v>
      </c>
    </row>
    <row r="76" spans="1:9" x14ac:dyDescent="0.35">
      <c r="A76" s="1">
        <v>547</v>
      </c>
      <c r="B76" s="1" t="s">
        <v>1510</v>
      </c>
      <c r="C76" s="24">
        <v>46013</v>
      </c>
      <c r="D76" s="1" t="s">
        <v>25</v>
      </c>
      <c r="E76" s="15" t="s">
        <v>50</v>
      </c>
      <c r="F76" s="1" t="s">
        <v>27</v>
      </c>
      <c r="G76" s="32">
        <v>275000</v>
      </c>
      <c r="H76" s="1" t="s">
        <v>7</v>
      </c>
      <c r="I76" s="1">
        <v>5</v>
      </c>
    </row>
    <row r="77" spans="1:9" x14ac:dyDescent="0.35">
      <c r="A77" s="1">
        <v>552</v>
      </c>
      <c r="B77" s="1" t="s">
        <v>1515</v>
      </c>
      <c r="C77" s="24">
        <v>46013</v>
      </c>
      <c r="D77" s="1" t="s">
        <v>25</v>
      </c>
      <c r="E77" s="15" t="s">
        <v>50</v>
      </c>
      <c r="F77" s="1" t="s">
        <v>27</v>
      </c>
      <c r="G77" s="32">
        <v>275000</v>
      </c>
      <c r="H77" s="1" t="s">
        <v>7</v>
      </c>
      <c r="I77" s="1">
        <v>5</v>
      </c>
    </row>
    <row r="78" spans="1:9" x14ac:dyDescent="0.35">
      <c r="A78" s="1">
        <v>553</v>
      </c>
      <c r="B78" s="1" t="s">
        <v>1516</v>
      </c>
      <c r="C78" s="24">
        <v>46013</v>
      </c>
      <c r="D78" s="1" t="s">
        <v>25</v>
      </c>
      <c r="E78" s="15" t="s">
        <v>50</v>
      </c>
      <c r="F78" s="1" t="s">
        <v>27</v>
      </c>
      <c r="G78" s="32">
        <v>275000</v>
      </c>
      <c r="H78" s="1" t="s">
        <v>7</v>
      </c>
      <c r="I78" s="1">
        <v>5</v>
      </c>
    </row>
    <row r="79" spans="1:9" x14ac:dyDescent="0.35">
      <c r="A79" s="1">
        <v>561</v>
      </c>
      <c r="B79" s="1" t="s">
        <v>1526</v>
      </c>
      <c r="C79" s="24">
        <v>46013</v>
      </c>
      <c r="D79" s="1" t="s">
        <v>25</v>
      </c>
      <c r="E79" s="15" t="s">
        <v>50</v>
      </c>
      <c r="F79" s="1" t="s">
        <v>27</v>
      </c>
      <c r="G79" s="32">
        <v>440000</v>
      </c>
      <c r="H79" s="1" t="s">
        <v>7</v>
      </c>
      <c r="I79" s="1">
        <v>8</v>
      </c>
    </row>
    <row r="80" spans="1:9" x14ac:dyDescent="0.35">
      <c r="A80" s="1">
        <v>572</v>
      </c>
      <c r="B80" s="1" t="s">
        <v>1565</v>
      </c>
      <c r="C80" s="24">
        <v>46090</v>
      </c>
      <c r="D80" s="1" t="s">
        <v>198</v>
      </c>
      <c r="E80" s="15" t="s">
        <v>199</v>
      </c>
      <c r="F80" s="1" t="s">
        <v>106</v>
      </c>
      <c r="G80" s="32">
        <v>35000</v>
      </c>
      <c r="H80" s="1" t="s">
        <v>7</v>
      </c>
      <c r="I80" s="1">
        <v>1</v>
      </c>
    </row>
    <row r="81" spans="1:9" x14ac:dyDescent="0.35">
      <c r="A81" s="1">
        <v>573</v>
      </c>
      <c r="B81" s="1" t="s">
        <v>1566</v>
      </c>
      <c r="C81" s="24">
        <v>46091</v>
      </c>
      <c r="D81" s="1" t="s">
        <v>25</v>
      </c>
      <c r="E81" s="15" t="s">
        <v>50</v>
      </c>
      <c r="F81" s="1" t="s">
        <v>27</v>
      </c>
      <c r="G81" s="32">
        <v>270000</v>
      </c>
      <c r="H81" s="1" t="s">
        <v>7</v>
      </c>
      <c r="I81" s="1">
        <v>5</v>
      </c>
    </row>
    <row r="82" spans="1:9" x14ac:dyDescent="0.35">
      <c r="A82" s="1">
        <v>574</v>
      </c>
      <c r="B82" s="1" t="s">
        <v>1640</v>
      </c>
      <c r="C82" s="24">
        <v>46111</v>
      </c>
      <c r="D82" s="1" t="s">
        <v>25</v>
      </c>
      <c r="E82" s="15" t="s">
        <v>50</v>
      </c>
      <c r="F82" s="1" t="s">
        <v>27</v>
      </c>
      <c r="G82" s="32">
        <v>265000</v>
      </c>
      <c r="H82" s="1" t="s">
        <v>7</v>
      </c>
      <c r="I82" s="1">
        <v>5</v>
      </c>
    </row>
    <row r="83" spans="1:9" x14ac:dyDescent="0.35">
      <c r="A83" s="1">
        <v>578</v>
      </c>
      <c r="B83" s="1" t="s">
        <v>1573</v>
      </c>
      <c r="C83" s="24">
        <v>46119</v>
      </c>
      <c r="D83" s="1" t="s">
        <v>25</v>
      </c>
      <c r="E83" s="15" t="s">
        <v>50</v>
      </c>
      <c r="F83" s="1" t="s">
        <v>27</v>
      </c>
      <c r="G83" s="32">
        <v>245000</v>
      </c>
      <c r="H83" s="1" t="s">
        <v>7</v>
      </c>
      <c r="I83" s="1">
        <v>5</v>
      </c>
    </row>
    <row r="84" spans="1:9" x14ac:dyDescent="0.35">
      <c r="A84" s="1">
        <v>579</v>
      </c>
      <c r="B84" s="1" t="s">
        <v>1643</v>
      </c>
      <c r="C84" s="24">
        <v>46121</v>
      </c>
      <c r="D84" s="1" t="s">
        <v>25</v>
      </c>
      <c r="E84" s="15" t="s">
        <v>50</v>
      </c>
      <c r="F84" s="1" t="s">
        <v>27</v>
      </c>
      <c r="G84" s="32">
        <v>262500</v>
      </c>
      <c r="H84" s="1" t="s">
        <v>7</v>
      </c>
      <c r="I84" s="1">
        <v>5</v>
      </c>
    </row>
    <row r="85" spans="1:9" x14ac:dyDescent="0.35">
      <c r="A85" s="1">
        <v>581</v>
      </c>
      <c r="B85" s="1" t="s">
        <v>1664</v>
      </c>
      <c r="C85" s="24">
        <v>46132</v>
      </c>
      <c r="D85" s="1" t="s">
        <v>25</v>
      </c>
      <c r="E85" s="15" t="s">
        <v>50</v>
      </c>
      <c r="F85" s="1" t="s">
        <v>27</v>
      </c>
      <c r="G85" s="32">
        <v>275000</v>
      </c>
      <c r="H85" s="1" t="s">
        <v>7</v>
      </c>
      <c r="I85" s="1">
        <v>5</v>
      </c>
    </row>
    <row r="86" spans="1:9" x14ac:dyDescent="0.35">
      <c r="A86" s="1">
        <v>586</v>
      </c>
      <c r="B86" s="1" t="s">
        <v>1699</v>
      </c>
      <c r="C86" s="24">
        <v>46136</v>
      </c>
      <c r="D86" s="1" t="s">
        <v>1697</v>
      </c>
      <c r="E86" s="15" t="s">
        <v>1698</v>
      </c>
      <c r="F86" s="1" t="s">
        <v>30</v>
      </c>
      <c r="G86" s="32">
        <v>20000</v>
      </c>
      <c r="H86" s="1" t="s">
        <v>7</v>
      </c>
      <c r="I86" s="1">
        <v>2</v>
      </c>
    </row>
    <row r="87" spans="1:9" x14ac:dyDescent="0.35">
      <c r="A87" s="1">
        <v>587</v>
      </c>
      <c r="B87" s="1" t="s">
        <v>1696</v>
      </c>
      <c r="C87" s="24">
        <v>46139</v>
      </c>
      <c r="D87" s="1" t="s">
        <v>1693</v>
      </c>
      <c r="E87" s="15" t="s">
        <v>1695</v>
      </c>
      <c r="F87" s="1" t="s">
        <v>47</v>
      </c>
      <c r="G87" s="32">
        <v>10000</v>
      </c>
      <c r="H87" s="1" t="s">
        <v>7</v>
      </c>
      <c r="I87" s="1">
        <v>5</v>
      </c>
    </row>
    <row r="88" spans="1:9" x14ac:dyDescent="0.35">
      <c r="A88" s="1">
        <v>589</v>
      </c>
      <c r="B88" s="1" t="s">
        <v>1701</v>
      </c>
      <c r="C88" s="24">
        <v>46149</v>
      </c>
      <c r="D88" s="1" t="s">
        <v>25</v>
      </c>
      <c r="E88" s="15" t="s">
        <v>50</v>
      </c>
      <c r="F88" s="1" t="s">
        <v>27</v>
      </c>
      <c r="G88" s="32">
        <v>275000</v>
      </c>
      <c r="H88" s="1" t="s">
        <v>7</v>
      </c>
      <c r="I88" s="1">
        <v>5</v>
      </c>
    </row>
    <row r="89" spans="1:9" x14ac:dyDescent="0.35">
      <c r="A89" s="1">
        <v>593</v>
      </c>
      <c r="B89" s="1" t="s">
        <v>1705</v>
      </c>
      <c r="C89" s="24">
        <v>46163</v>
      </c>
      <c r="D89" s="1" t="s">
        <v>25</v>
      </c>
      <c r="E89" s="15" t="s">
        <v>50</v>
      </c>
      <c r="F89" s="1" t="s">
        <v>27</v>
      </c>
      <c r="G89" s="32">
        <v>275000</v>
      </c>
      <c r="H89" s="1" t="s">
        <v>7</v>
      </c>
      <c r="I89" s="1">
        <v>5</v>
      </c>
    </row>
    <row r="90" spans="1:9" x14ac:dyDescent="0.35">
      <c r="A90" s="1">
        <v>596</v>
      </c>
      <c r="B90" s="1" t="s">
        <v>1712</v>
      </c>
      <c r="C90" s="24">
        <v>46167</v>
      </c>
      <c r="D90" s="1" t="s">
        <v>1041</v>
      </c>
      <c r="E90" s="15" t="s">
        <v>1042</v>
      </c>
      <c r="F90" s="1" t="s">
        <v>27</v>
      </c>
      <c r="G90" s="32">
        <v>600000</v>
      </c>
      <c r="H90" s="1" t="s">
        <v>7</v>
      </c>
      <c r="I90" s="1">
        <v>5</v>
      </c>
    </row>
    <row r="91" spans="1:9" x14ac:dyDescent="0.35">
      <c r="A91" s="1">
        <v>602</v>
      </c>
      <c r="B91" s="1" t="s">
        <v>1755</v>
      </c>
      <c r="C91" s="24">
        <v>46174</v>
      </c>
      <c r="D91" s="1" t="s">
        <v>25</v>
      </c>
      <c r="E91" s="15" t="s">
        <v>50</v>
      </c>
      <c r="F91" s="1" t="s">
        <v>27</v>
      </c>
      <c r="G91" s="32">
        <v>550000</v>
      </c>
      <c r="H91" s="1" t="s">
        <v>7</v>
      </c>
      <c r="I91" s="1">
        <v>10</v>
      </c>
    </row>
    <row r="92" spans="1:9" x14ac:dyDescent="0.35">
      <c r="A92" s="1">
        <v>603</v>
      </c>
      <c r="B92" s="1" t="s">
        <v>1756</v>
      </c>
      <c r="C92" s="24">
        <v>46195</v>
      </c>
      <c r="D92" s="1" t="s">
        <v>25</v>
      </c>
      <c r="E92" s="15" t="s">
        <v>50</v>
      </c>
      <c r="F92" s="1" t="s">
        <v>27</v>
      </c>
      <c r="G92" s="32">
        <v>265000</v>
      </c>
      <c r="H92" s="1" t="s">
        <v>7</v>
      </c>
      <c r="I92" s="1">
        <v>5</v>
      </c>
    </row>
    <row r="93" spans="1:9" x14ac:dyDescent="0.35">
      <c r="A93" s="1">
        <v>604</v>
      </c>
      <c r="B93" s="1" t="s">
        <v>1757</v>
      </c>
      <c r="C93" s="24">
        <v>46199</v>
      </c>
      <c r="D93" s="1" t="s">
        <v>25</v>
      </c>
      <c r="E93" s="15" t="s">
        <v>50</v>
      </c>
      <c r="F93" s="1" t="s">
        <v>27</v>
      </c>
      <c r="G93" s="32"/>
      <c r="H93" s="1" t="s">
        <v>7</v>
      </c>
      <c r="I93" s="1">
        <v>5</v>
      </c>
    </row>
    <row r="94" spans="1:9" x14ac:dyDescent="0.35">
      <c r="A94" s="1">
        <v>635</v>
      </c>
      <c r="B94" s="1" t="s">
        <v>1813</v>
      </c>
      <c r="C94" s="24">
        <v>46227</v>
      </c>
      <c r="D94" s="1" t="s">
        <v>25</v>
      </c>
      <c r="E94" s="15" t="s">
        <v>1042</v>
      </c>
      <c r="F94" s="1" t="s">
        <v>27</v>
      </c>
      <c r="G94" s="32">
        <v>250000</v>
      </c>
      <c r="H94" s="1" t="s">
        <v>7</v>
      </c>
      <c r="I94" s="1">
        <v>2</v>
      </c>
    </row>
    <row r="95" spans="1:9" x14ac:dyDescent="0.35">
      <c r="A95" s="1">
        <v>640</v>
      </c>
      <c r="B95" s="1" t="s">
        <v>1851</v>
      </c>
      <c r="C95" s="24">
        <v>46233</v>
      </c>
      <c r="D95" s="1" t="s">
        <v>25</v>
      </c>
      <c r="E95" s="15" t="s">
        <v>50</v>
      </c>
      <c r="F95" s="1" t="s">
        <v>27</v>
      </c>
      <c r="G95" s="32">
        <v>159000</v>
      </c>
      <c r="H95" s="1" t="s">
        <v>7</v>
      </c>
      <c r="I95" s="1">
        <v>3</v>
      </c>
    </row>
    <row r="96" spans="1:9" x14ac:dyDescent="0.35">
      <c r="A96" s="1">
        <v>643</v>
      </c>
      <c r="B96" s="1" t="s">
        <v>1863</v>
      </c>
      <c r="C96" s="24">
        <v>46237</v>
      </c>
      <c r="D96" s="1" t="s">
        <v>25</v>
      </c>
      <c r="E96" s="15" t="s">
        <v>50</v>
      </c>
      <c r="F96" s="1" t="s">
        <v>27</v>
      </c>
      <c r="G96" s="32">
        <v>280000</v>
      </c>
      <c r="H96" s="1" t="s">
        <v>7</v>
      </c>
      <c r="I96" s="1">
        <v>5</v>
      </c>
    </row>
    <row r="97" spans="1:9" x14ac:dyDescent="0.35">
      <c r="A97" s="1">
        <v>647</v>
      </c>
      <c r="B97" s="1" t="s">
        <v>1873</v>
      </c>
      <c r="C97" s="24">
        <v>46298</v>
      </c>
      <c r="D97" s="1" t="s">
        <v>25</v>
      </c>
      <c r="E97" s="15" t="s">
        <v>50</v>
      </c>
      <c r="F97" s="1" t="s">
        <v>27</v>
      </c>
      <c r="G97" s="32">
        <v>227000</v>
      </c>
      <c r="H97" s="1" t="s">
        <v>7</v>
      </c>
      <c r="I97" s="1">
        <v>5</v>
      </c>
    </row>
    <row r="98" spans="1:9" x14ac:dyDescent="0.35">
      <c r="A98" s="1"/>
      <c r="B98" s="1"/>
      <c r="C98" s="24"/>
      <c r="D98" s="1"/>
      <c r="E98" s="15"/>
      <c r="F98" s="1"/>
      <c r="G98" s="32"/>
      <c r="H98" s="1"/>
      <c r="I98" s="1"/>
    </row>
    <row r="99" spans="1:9" x14ac:dyDescent="0.35">
      <c r="A99" s="1"/>
      <c r="B99" s="1"/>
      <c r="C99" s="24"/>
      <c r="D99" s="1"/>
      <c r="E99" s="15"/>
      <c r="F99" s="1"/>
      <c r="G99" s="32"/>
      <c r="H99" s="1"/>
      <c r="I99" s="1"/>
    </row>
    <row r="100" spans="1:9" x14ac:dyDescent="0.35">
      <c r="A100" s="1"/>
      <c r="B100" s="1"/>
      <c r="C100" s="24"/>
      <c r="D100" s="1"/>
      <c r="E100" s="15"/>
      <c r="F100" s="1"/>
      <c r="G100" s="32"/>
      <c r="H100" s="1"/>
      <c r="I100" s="1"/>
    </row>
    <row r="101" spans="1:9" x14ac:dyDescent="0.35">
      <c r="A101" s="1"/>
      <c r="B101" s="1"/>
      <c r="C101" s="24"/>
      <c r="D101" s="1"/>
      <c r="E101" s="15"/>
      <c r="F101" s="1"/>
      <c r="G101" s="32"/>
      <c r="H101" s="1"/>
      <c r="I101" s="1"/>
    </row>
    <row r="102" spans="1:9" x14ac:dyDescent="0.35">
      <c r="A102" s="1"/>
      <c r="B102" s="1"/>
      <c r="C102" s="24"/>
      <c r="D102" s="1"/>
      <c r="E102" s="15"/>
      <c r="F102" s="1"/>
      <c r="G102" s="32"/>
      <c r="H102" s="1"/>
      <c r="I102" s="1"/>
    </row>
    <row r="103" spans="1:9" x14ac:dyDescent="0.35">
      <c r="A103" s="1"/>
      <c r="B103" s="1"/>
      <c r="C103" s="24"/>
      <c r="D103" s="1"/>
      <c r="E103" s="15"/>
      <c r="F103" s="1"/>
      <c r="G103" s="32"/>
      <c r="H103" s="1"/>
      <c r="I103" s="1"/>
    </row>
    <row r="104" spans="1:9" x14ac:dyDescent="0.35">
      <c r="A104" s="1"/>
      <c r="B104" s="1"/>
      <c r="C104" s="24"/>
      <c r="D104" s="1"/>
      <c r="E104" s="15"/>
      <c r="F104" s="1"/>
      <c r="G104" s="32"/>
      <c r="H104" s="1"/>
      <c r="I104" s="1"/>
    </row>
    <row r="105" spans="1:9" x14ac:dyDescent="0.35">
      <c r="A105" s="1"/>
      <c r="B105" s="1"/>
      <c r="C105" s="24"/>
      <c r="D105" s="1"/>
      <c r="E105" s="15"/>
      <c r="F105" s="1"/>
      <c r="G105" s="32"/>
      <c r="H105" s="1"/>
      <c r="I105" s="1"/>
    </row>
    <row r="106" spans="1:9" x14ac:dyDescent="0.35">
      <c r="A106" s="1"/>
      <c r="B106" s="1"/>
      <c r="C106" s="24"/>
      <c r="D106" s="1"/>
      <c r="E106" s="15"/>
      <c r="F106" s="1"/>
      <c r="G106" s="32"/>
      <c r="H106" s="1"/>
      <c r="I106" s="1"/>
    </row>
    <row r="107" spans="1:9" x14ac:dyDescent="0.35">
      <c r="A107" s="1"/>
      <c r="B107" s="1"/>
      <c r="C107" s="24"/>
      <c r="D107" s="1"/>
      <c r="E107" s="15"/>
      <c r="F107" s="1"/>
      <c r="G107" s="32"/>
      <c r="H107" s="1"/>
      <c r="I107" s="1"/>
    </row>
    <row r="108" spans="1:9" x14ac:dyDescent="0.35">
      <c r="A108" s="1"/>
      <c r="B108" s="1"/>
      <c r="C108" s="24"/>
      <c r="D108" s="1"/>
      <c r="E108" s="15"/>
      <c r="F108" s="1"/>
      <c r="G108" s="32"/>
      <c r="H108" s="1"/>
      <c r="I108" s="1"/>
    </row>
    <row r="109" spans="1:9" x14ac:dyDescent="0.35">
      <c r="A109" s="1"/>
      <c r="B109" s="1"/>
      <c r="C109" s="24"/>
      <c r="D109" s="1"/>
      <c r="E109" s="15"/>
      <c r="F109" s="1"/>
      <c r="G109" s="32"/>
      <c r="H109" s="1"/>
      <c r="I109" s="1"/>
    </row>
    <row r="110" spans="1:9" x14ac:dyDescent="0.35">
      <c r="A110" s="1"/>
      <c r="B110" s="1"/>
      <c r="C110" s="24"/>
      <c r="D110" s="1"/>
      <c r="E110" s="15"/>
      <c r="F110" s="1"/>
      <c r="G110" s="32"/>
      <c r="H110" s="1"/>
      <c r="I110" s="1"/>
    </row>
    <row r="111" spans="1:9" x14ac:dyDescent="0.35">
      <c r="A111" s="1"/>
      <c r="B111" s="1"/>
      <c r="C111" s="24"/>
      <c r="D111" s="1"/>
      <c r="E111" s="15"/>
      <c r="F111" s="1"/>
      <c r="G111" s="32"/>
      <c r="H111" s="1"/>
      <c r="I111" s="1"/>
    </row>
    <row r="112" spans="1:9" x14ac:dyDescent="0.35">
      <c r="A112" s="1"/>
      <c r="B112" s="1"/>
      <c r="C112" s="24"/>
      <c r="D112" s="1"/>
      <c r="E112" s="15"/>
      <c r="F112" s="1"/>
      <c r="G112" s="32"/>
      <c r="H112" s="1"/>
      <c r="I112" s="1"/>
    </row>
    <row r="113" spans="1:9" x14ac:dyDescent="0.35">
      <c r="A113" s="1"/>
      <c r="B113" s="1"/>
      <c r="C113" s="24"/>
      <c r="D113" s="1"/>
      <c r="E113" s="15"/>
      <c r="F113" s="1"/>
      <c r="G113" s="32"/>
      <c r="H113" s="1"/>
      <c r="I113" s="1"/>
    </row>
    <row r="114" spans="1:9" x14ac:dyDescent="0.35">
      <c r="A114" s="1"/>
      <c r="B114" s="1"/>
      <c r="C114" s="24"/>
      <c r="D114" s="1"/>
      <c r="E114" s="15"/>
      <c r="F114" s="1"/>
      <c r="G114" s="32"/>
      <c r="H114" s="1"/>
      <c r="I114" s="1"/>
    </row>
    <row r="115" spans="1:9" x14ac:dyDescent="0.35">
      <c r="A115" s="1"/>
      <c r="B115" s="1"/>
      <c r="C115" s="24"/>
      <c r="D115" s="1"/>
      <c r="E115" s="15"/>
      <c r="F115" s="1"/>
      <c r="G115" s="32"/>
      <c r="H115" s="1"/>
      <c r="I115" s="1"/>
    </row>
    <row r="116" spans="1:9" x14ac:dyDescent="0.35">
      <c r="A116" s="1"/>
      <c r="B116" s="1"/>
      <c r="C116" s="24"/>
      <c r="D116" s="1"/>
      <c r="E116" s="15"/>
      <c r="F116" s="1"/>
      <c r="G116" s="32"/>
      <c r="H116" s="1"/>
      <c r="I116" s="1"/>
    </row>
    <row r="117" spans="1:9" x14ac:dyDescent="0.35">
      <c r="A117" s="1"/>
      <c r="B117" s="1"/>
      <c r="C117" s="24"/>
      <c r="D117" s="1"/>
      <c r="E117" s="15"/>
      <c r="F117" s="1"/>
      <c r="G117" s="32"/>
      <c r="H117" s="1"/>
      <c r="I117" s="1"/>
    </row>
    <row r="118" spans="1:9" x14ac:dyDescent="0.35">
      <c r="A118" s="1"/>
      <c r="B118" s="1"/>
      <c r="C118" s="24"/>
      <c r="D118" s="1"/>
      <c r="E118" s="15"/>
      <c r="F118" s="1"/>
      <c r="G118" s="32"/>
      <c r="H118" s="1"/>
      <c r="I118" s="1"/>
    </row>
    <row r="119" spans="1:9" x14ac:dyDescent="0.35">
      <c r="A119" s="1"/>
      <c r="B119" s="1"/>
      <c r="C119" s="24"/>
      <c r="D119" s="1"/>
      <c r="E119" s="15"/>
      <c r="F119" s="1"/>
      <c r="G119" s="32"/>
      <c r="H119" s="1"/>
      <c r="I119" s="1"/>
    </row>
    <row r="120" spans="1:9" x14ac:dyDescent="0.35">
      <c r="A120" s="1"/>
      <c r="B120" s="1"/>
      <c r="C120" s="24"/>
      <c r="D120" s="1"/>
      <c r="E120" s="15"/>
      <c r="F120" s="1"/>
      <c r="G120" s="32"/>
      <c r="H120" s="1"/>
      <c r="I120" s="1"/>
    </row>
    <row r="121" spans="1:9" x14ac:dyDescent="0.35">
      <c r="A121" s="1"/>
      <c r="B121" s="1"/>
      <c r="C121" s="24"/>
      <c r="D121" s="1"/>
      <c r="E121" s="15"/>
      <c r="F121" s="1"/>
      <c r="G121" s="32"/>
      <c r="H121" s="1"/>
      <c r="I121" s="1"/>
    </row>
    <row r="122" spans="1:9" x14ac:dyDescent="0.35">
      <c r="A122" s="1"/>
      <c r="B122" s="1"/>
      <c r="C122" s="24"/>
      <c r="D122" s="1"/>
      <c r="E122" s="15"/>
      <c r="F122" s="1"/>
      <c r="G122" s="32"/>
      <c r="H122" s="1"/>
      <c r="I122" s="1"/>
    </row>
    <row r="123" spans="1:9" x14ac:dyDescent="0.35">
      <c r="A123" s="1"/>
      <c r="B123" s="1"/>
      <c r="C123" s="24"/>
      <c r="D123" s="1"/>
      <c r="E123" s="15"/>
      <c r="F123" s="1"/>
      <c r="G123" s="32"/>
      <c r="H123" s="1"/>
      <c r="I123" s="1"/>
    </row>
    <row r="124" spans="1:9" x14ac:dyDescent="0.35">
      <c r="A124" s="1"/>
      <c r="B124" s="1"/>
      <c r="C124" s="24"/>
      <c r="D124" s="1"/>
      <c r="E124" s="15"/>
      <c r="F124" s="1"/>
      <c r="G124" s="32"/>
      <c r="H124" s="1"/>
      <c r="I124" s="1"/>
    </row>
    <row r="125" spans="1:9" x14ac:dyDescent="0.35">
      <c r="A125" s="1"/>
      <c r="B125" s="1"/>
      <c r="C125" s="24"/>
      <c r="D125" s="1"/>
      <c r="E125" s="15"/>
      <c r="F125" s="1"/>
      <c r="G125" s="32"/>
      <c r="H125" s="1"/>
      <c r="I125" s="1"/>
    </row>
    <row r="126" spans="1:9" x14ac:dyDescent="0.35">
      <c r="A126" s="1"/>
      <c r="B126" s="1"/>
      <c r="C126" s="24"/>
      <c r="D126" s="1"/>
      <c r="E126" s="15"/>
      <c r="F126" s="1"/>
      <c r="G126" s="32"/>
      <c r="H126" s="1"/>
      <c r="I126" s="1"/>
    </row>
    <row r="127" spans="1:9" x14ac:dyDescent="0.35">
      <c r="A127" s="1"/>
      <c r="B127" s="1"/>
      <c r="C127" s="24"/>
      <c r="D127" s="1"/>
      <c r="E127" s="15"/>
      <c r="F127" s="1"/>
      <c r="G127" s="32"/>
      <c r="H127" s="1"/>
      <c r="I127" s="1"/>
    </row>
    <row r="128" spans="1:9" x14ac:dyDescent="0.35">
      <c r="A128" s="1"/>
      <c r="B128" s="1"/>
      <c r="C128" s="24"/>
      <c r="D128" s="1"/>
      <c r="E128" s="15"/>
      <c r="F128" s="1"/>
      <c r="G128" s="32"/>
      <c r="H128" s="1"/>
      <c r="I128" s="1"/>
    </row>
    <row r="129" spans="1:9" x14ac:dyDescent="0.35">
      <c r="A129" s="1"/>
      <c r="B129" s="1"/>
      <c r="C129" s="24"/>
      <c r="D129" s="1"/>
      <c r="E129" s="15"/>
      <c r="F129" s="1"/>
      <c r="G129" s="32"/>
      <c r="H129" s="1"/>
      <c r="I129" s="1"/>
    </row>
    <row r="130" spans="1:9" x14ac:dyDescent="0.35">
      <c r="A130" s="1"/>
      <c r="B130" s="1"/>
      <c r="C130" s="24"/>
      <c r="D130" s="1"/>
      <c r="E130" s="15"/>
      <c r="F130" s="1"/>
      <c r="G130" s="32"/>
      <c r="H130" s="1"/>
      <c r="I130" s="1"/>
    </row>
    <row r="131" spans="1:9" x14ac:dyDescent="0.35">
      <c r="A131" s="1"/>
      <c r="B131" s="1"/>
      <c r="C131" s="24"/>
      <c r="D131" s="1"/>
      <c r="E131" s="15"/>
      <c r="F131" s="1"/>
      <c r="G131" s="32"/>
      <c r="H131" s="1"/>
      <c r="I131" s="1"/>
    </row>
    <row r="132" spans="1:9" x14ac:dyDescent="0.35">
      <c r="A132" s="1"/>
      <c r="B132" s="1"/>
      <c r="C132" s="24"/>
      <c r="D132" s="1"/>
      <c r="E132" s="15"/>
      <c r="F132" s="1"/>
      <c r="G132" s="32"/>
      <c r="H132" s="1"/>
      <c r="I132" s="1"/>
    </row>
    <row r="133" spans="1:9" x14ac:dyDescent="0.35">
      <c r="A133" s="1"/>
      <c r="B133" s="1"/>
      <c r="C133" s="24"/>
      <c r="D133" s="1"/>
      <c r="E133" s="15"/>
      <c r="F133" s="1"/>
      <c r="G133" s="32"/>
      <c r="H133" s="1"/>
      <c r="I133" s="1"/>
    </row>
    <row r="134" spans="1:9" x14ac:dyDescent="0.35">
      <c r="A134" s="1"/>
      <c r="B134" s="1"/>
      <c r="C134" s="24"/>
      <c r="D134" s="1"/>
      <c r="E134" s="15"/>
      <c r="F134" s="1"/>
      <c r="G134" s="32"/>
      <c r="H134" s="1"/>
      <c r="I134" s="1"/>
    </row>
    <row r="135" spans="1:9" x14ac:dyDescent="0.35">
      <c r="A135" s="1"/>
      <c r="B135" s="1"/>
      <c r="C135" s="24"/>
      <c r="D135" s="1"/>
      <c r="E135" s="15"/>
      <c r="F135" s="1"/>
      <c r="G135" s="32"/>
      <c r="H135" s="1"/>
      <c r="I135" s="1"/>
    </row>
    <row r="136" spans="1:9" x14ac:dyDescent="0.35">
      <c r="A136" s="1"/>
      <c r="B136" s="1"/>
      <c r="C136" s="24"/>
      <c r="D136" s="1"/>
      <c r="E136" s="15"/>
      <c r="F136" s="1"/>
      <c r="G136" s="32"/>
      <c r="H136" s="1"/>
      <c r="I136" s="1"/>
    </row>
    <row r="137" spans="1:9" x14ac:dyDescent="0.35">
      <c r="A137" s="1"/>
      <c r="B137" s="1"/>
      <c r="C137" s="24"/>
      <c r="D137" s="1"/>
      <c r="E137" s="15"/>
      <c r="F137" s="1"/>
      <c r="G137" s="32"/>
      <c r="H137" s="1"/>
      <c r="I137" s="1"/>
    </row>
    <row r="138" spans="1:9" x14ac:dyDescent="0.35">
      <c r="A138" s="1"/>
      <c r="B138" s="1"/>
      <c r="C138" s="24"/>
      <c r="D138" s="1"/>
      <c r="E138" s="15"/>
      <c r="F138" s="1"/>
      <c r="G138" s="32"/>
      <c r="H138" s="1"/>
      <c r="I138" s="1"/>
    </row>
    <row r="139" spans="1:9" x14ac:dyDescent="0.35">
      <c r="A139" s="1"/>
      <c r="B139" s="1"/>
      <c r="C139" s="24"/>
      <c r="D139" s="1"/>
      <c r="E139" s="15"/>
      <c r="F139" s="1"/>
      <c r="G139" s="32"/>
      <c r="H139" s="1"/>
      <c r="I139" s="1"/>
    </row>
    <row r="140" spans="1:9" x14ac:dyDescent="0.35">
      <c r="A140" s="1"/>
      <c r="B140" s="1"/>
      <c r="C140" s="24"/>
      <c r="D140" s="1"/>
      <c r="E140" s="15"/>
      <c r="F140" s="1"/>
      <c r="G140" s="32"/>
      <c r="H140" s="1"/>
      <c r="I140" s="1"/>
    </row>
    <row r="141" spans="1:9" x14ac:dyDescent="0.35">
      <c r="A141" s="1"/>
      <c r="B141" s="1"/>
      <c r="C141" s="24"/>
      <c r="D141" s="1"/>
      <c r="E141" s="15"/>
      <c r="F141" s="1"/>
      <c r="G141" s="32"/>
      <c r="H141" s="1"/>
      <c r="I141" s="1"/>
    </row>
    <row r="142" spans="1:9" x14ac:dyDescent="0.35">
      <c r="A142" s="1"/>
      <c r="B142" s="1"/>
      <c r="C142" s="24"/>
      <c r="D142" s="1"/>
      <c r="E142" s="15"/>
      <c r="F142" s="1"/>
      <c r="G142" s="32"/>
      <c r="H142" s="1"/>
      <c r="I142" s="1"/>
    </row>
    <row r="143" spans="1:9" x14ac:dyDescent="0.35">
      <c r="A143" s="1"/>
      <c r="B143" s="1"/>
      <c r="C143" s="24"/>
      <c r="D143" s="1"/>
      <c r="E143" s="15"/>
      <c r="F143" s="1"/>
      <c r="G143" s="32"/>
      <c r="H143" s="1"/>
      <c r="I143" s="1"/>
    </row>
    <row r="144" spans="1:9" x14ac:dyDescent="0.35">
      <c r="A144" s="1"/>
      <c r="B144" s="1"/>
      <c r="C144" s="24"/>
      <c r="D144" s="1"/>
      <c r="E144" s="15"/>
      <c r="F144" s="1"/>
      <c r="G144" s="32"/>
      <c r="H144" s="1"/>
      <c r="I144" s="1"/>
    </row>
    <row r="145" spans="1:9" x14ac:dyDescent="0.35">
      <c r="A145" s="1"/>
      <c r="B145" s="1"/>
      <c r="C145" s="24"/>
      <c r="D145" s="1"/>
      <c r="E145" s="15"/>
      <c r="F145" s="1"/>
      <c r="G145" s="32"/>
      <c r="H145" s="1"/>
      <c r="I145" s="1"/>
    </row>
    <row r="146" spans="1:9" x14ac:dyDescent="0.35">
      <c r="A146" s="1"/>
      <c r="B146" s="1"/>
      <c r="C146" s="24"/>
      <c r="D146" s="1"/>
      <c r="E146" s="15"/>
      <c r="F146" s="1"/>
      <c r="G146" s="32"/>
      <c r="H146" s="1"/>
      <c r="I146" s="1"/>
    </row>
    <row r="147" spans="1:9" x14ac:dyDescent="0.35">
      <c r="A147" s="1"/>
      <c r="B147" s="1"/>
      <c r="C147" s="24"/>
      <c r="D147" s="1"/>
      <c r="E147" s="15"/>
      <c r="F147" s="1"/>
      <c r="G147" s="32"/>
      <c r="H147" s="1"/>
      <c r="I147" s="1"/>
    </row>
    <row r="148" spans="1:9" x14ac:dyDescent="0.35">
      <c r="A148" s="1"/>
      <c r="B148" s="1"/>
      <c r="C148" s="24"/>
      <c r="D148" s="1"/>
      <c r="E148" s="15"/>
      <c r="F148" s="1"/>
      <c r="G148" s="32"/>
      <c r="H148" s="1"/>
      <c r="I148" s="1"/>
    </row>
    <row r="149" spans="1:9" x14ac:dyDescent="0.35">
      <c r="A149" s="1"/>
      <c r="B149" s="1"/>
      <c r="C149" s="24"/>
      <c r="D149" s="1"/>
      <c r="E149" s="15"/>
      <c r="F149" s="1"/>
      <c r="G149" s="32"/>
      <c r="H149" s="1"/>
      <c r="I149" s="1"/>
    </row>
    <row r="150" spans="1:9" x14ac:dyDescent="0.35">
      <c r="A150" s="1"/>
      <c r="B150" s="1"/>
      <c r="C150" s="24"/>
      <c r="D150" s="1"/>
      <c r="E150" s="15"/>
      <c r="F150" s="1"/>
      <c r="G150" s="32"/>
      <c r="H150" s="1"/>
      <c r="I150" s="1"/>
    </row>
    <row r="151" spans="1:9" x14ac:dyDescent="0.35">
      <c r="A151" s="1"/>
      <c r="B151" s="1"/>
      <c r="C151" s="24"/>
      <c r="D151" s="1"/>
      <c r="E151" s="15"/>
      <c r="F151" s="1"/>
      <c r="G151" s="32"/>
      <c r="H151" s="1"/>
      <c r="I151" s="1"/>
    </row>
    <row r="152" spans="1:9" x14ac:dyDescent="0.35">
      <c r="A152" s="1"/>
      <c r="B152" s="1"/>
      <c r="C152" s="24"/>
      <c r="D152" s="1"/>
      <c r="E152" s="15"/>
      <c r="F152" s="1"/>
      <c r="G152" s="32"/>
      <c r="H152" s="1"/>
      <c r="I152" s="1"/>
    </row>
    <row r="153" spans="1:9" x14ac:dyDescent="0.35">
      <c r="A153" s="1"/>
      <c r="B153" s="1"/>
      <c r="C153" s="24"/>
      <c r="D153" s="1"/>
      <c r="E153" s="15"/>
      <c r="F153" s="1"/>
      <c r="G153" s="32"/>
      <c r="H153" s="1"/>
      <c r="I153" s="1"/>
    </row>
    <row r="154" spans="1:9" x14ac:dyDescent="0.35">
      <c r="A154" s="1"/>
      <c r="B154" s="1"/>
      <c r="C154" s="24"/>
      <c r="D154" s="1"/>
      <c r="E154" s="15"/>
      <c r="F154" s="1"/>
      <c r="G154" s="32"/>
      <c r="H154" s="1"/>
      <c r="I154" s="1"/>
    </row>
    <row r="155" spans="1:9" x14ac:dyDescent="0.35">
      <c r="A155" s="1"/>
      <c r="B155" s="1"/>
      <c r="C155" s="24"/>
      <c r="D155" s="1"/>
      <c r="E155" s="15"/>
      <c r="F155" s="1"/>
      <c r="G155" s="32"/>
      <c r="H155" s="1"/>
      <c r="I155" s="1"/>
    </row>
    <row r="156" spans="1:9" x14ac:dyDescent="0.35">
      <c r="A156" s="1"/>
      <c r="B156" s="1"/>
      <c r="C156" s="24"/>
      <c r="D156" s="1"/>
      <c r="E156" s="15"/>
      <c r="F156" s="1"/>
      <c r="G156" s="32"/>
      <c r="H156" s="1"/>
      <c r="I156" s="1"/>
    </row>
    <row r="157" spans="1:9" x14ac:dyDescent="0.35">
      <c r="A157" s="1"/>
      <c r="B157" s="1"/>
      <c r="C157" s="24"/>
      <c r="D157" s="1"/>
      <c r="E157" s="15"/>
      <c r="F157" s="1"/>
      <c r="G157" s="32"/>
      <c r="H157" s="1"/>
      <c r="I157" s="1"/>
    </row>
    <row r="158" spans="1:9" x14ac:dyDescent="0.35">
      <c r="A158" s="1"/>
      <c r="B158" s="1"/>
      <c r="C158" s="24"/>
      <c r="D158" s="1"/>
      <c r="E158" s="15"/>
      <c r="F158" s="1"/>
      <c r="G158" s="32"/>
      <c r="H158" s="1"/>
      <c r="I158" s="1"/>
    </row>
    <row r="159" spans="1:9" x14ac:dyDescent="0.35">
      <c r="A159" s="1"/>
      <c r="B159" s="1"/>
      <c r="C159" s="24"/>
      <c r="D159" s="1"/>
      <c r="E159" s="15"/>
      <c r="F159" s="1"/>
      <c r="G159" s="32"/>
      <c r="H159" s="1"/>
      <c r="I159" s="1"/>
    </row>
    <row r="160" spans="1:9" x14ac:dyDescent="0.35">
      <c r="A160" s="1"/>
      <c r="B160" s="1"/>
      <c r="C160" s="24"/>
      <c r="D160" s="1"/>
      <c r="E160" s="15"/>
      <c r="F160" s="1"/>
      <c r="G160" s="32"/>
      <c r="H160" s="1"/>
      <c r="I160" s="1"/>
    </row>
    <row r="161" spans="1:9" x14ac:dyDescent="0.35">
      <c r="A161" s="1"/>
      <c r="B161" s="1"/>
      <c r="C161" s="24"/>
      <c r="D161" s="1"/>
      <c r="E161" s="15"/>
      <c r="F161" s="1"/>
      <c r="G161" s="32"/>
      <c r="H161" s="1"/>
      <c r="I161" s="1"/>
    </row>
    <row r="162" spans="1:9" x14ac:dyDescent="0.35">
      <c r="A162" s="1"/>
      <c r="B162" s="1"/>
      <c r="C162" s="24"/>
      <c r="D162" s="1"/>
      <c r="E162" s="15"/>
      <c r="F162" s="1"/>
      <c r="G162" s="32"/>
      <c r="H162" s="1"/>
      <c r="I162" s="1"/>
    </row>
    <row r="163" spans="1:9" x14ac:dyDescent="0.35">
      <c r="A163" s="1"/>
      <c r="B163" s="1"/>
      <c r="C163" s="24"/>
      <c r="D163" s="1"/>
      <c r="E163" s="15"/>
      <c r="F163" s="1"/>
      <c r="G163" s="32"/>
      <c r="H163" s="1"/>
      <c r="I163" s="1"/>
    </row>
    <row r="164" spans="1:9" x14ac:dyDescent="0.35">
      <c r="A164" s="1"/>
      <c r="B164" s="1"/>
      <c r="C164" s="24"/>
      <c r="D164" s="1"/>
      <c r="E164" s="15"/>
      <c r="F164" s="1"/>
      <c r="G164" s="32"/>
      <c r="H164" s="1"/>
      <c r="I164" s="1"/>
    </row>
    <row r="165" spans="1:9" x14ac:dyDescent="0.35">
      <c r="A165" s="1"/>
      <c r="B165" s="1"/>
      <c r="C165" s="24"/>
      <c r="D165" s="1"/>
      <c r="E165" s="15"/>
      <c r="F165" s="1"/>
      <c r="G165" s="32"/>
      <c r="H165" s="1"/>
      <c r="I165" s="1"/>
    </row>
    <row r="166" spans="1:9" x14ac:dyDescent="0.35">
      <c r="A166" s="1"/>
      <c r="B166" s="1"/>
      <c r="C166" s="24"/>
      <c r="D166" s="1"/>
      <c r="E166" s="15"/>
      <c r="F166" s="1"/>
      <c r="G166" s="32"/>
      <c r="H166" s="1"/>
      <c r="I166" s="1"/>
    </row>
    <row r="167" spans="1:9" x14ac:dyDescent="0.35">
      <c r="A167" s="1"/>
      <c r="B167" s="1"/>
      <c r="C167" s="24"/>
      <c r="D167" s="1"/>
      <c r="E167" s="15"/>
      <c r="F167" s="1"/>
      <c r="G167" s="32"/>
      <c r="H167" s="1"/>
      <c r="I167" s="1"/>
    </row>
    <row r="168" spans="1:9" x14ac:dyDescent="0.35">
      <c r="A168" s="1"/>
      <c r="B168" s="1"/>
      <c r="C168" s="24"/>
      <c r="D168" s="1"/>
      <c r="E168" s="15"/>
      <c r="F168" s="1"/>
      <c r="G168" s="32"/>
      <c r="H168" s="1"/>
      <c r="I168" s="1"/>
    </row>
    <row r="169" spans="1:9" x14ac:dyDescent="0.35">
      <c r="A169" s="1"/>
      <c r="B169" s="1"/>
      <c r="C169" s="24"/>
      <c r="D169" s="1"/>
      <c r="E169" s="15"/>
      <c r="F169" s="1"/>
      <c r="G169" s="32"/>
      <c r="H169" s="1"/>
      <c r="I169" s="1"/>
    </row>
    <row r="170" spans="1:9" x14ac:dyDescent="0.35">
      <c r="A170" s="1"/>
      <c r="B170" s="1"/>
      <c r="C170" s="24"/>
      <c r="D170" s="1"/>
      <c r="E170" s="15"/>
      <c r="F170" s="1"/>
      <c r="G170" s="32"/>
      <c r="H170" s="1"/>
      <c r="I170" s="1"/>
    </row>
    <row r="171" spans="1:9" x14ac:dyDescent="0.35">
      <c r="A171" s="1"/>
      <c r="B171" s="1"/>
      <c r="C171" s="24"/>
      <c r="D171" s="1"/>
      <c r="E171" s="15"/>
      <c r="F171" s="1"/>
      <c r="G171" s="32"/>
      <c r="H171" s="1"/>
      <c r="I171" s="1"/>
    </row>
    <row r="172" spans="1:9" x14ac:dyDescent="0.35">
      <c r="A172" s="1"/>
      <c r="B172" s="1"/>
      <c r="C172" s="24"/>
      <c r="D172" s="1"/>
      <c r="E172" s="15"/>
      <c r="F172" s="1"/>
      <c r="G172" s="32"/>
      <c r="H172" s="1"/>
      <c r="I172" s="1"/>
    </row>
    <row r="173" spans="1:9" x14ac:dyDescent="0.35">
      <c r="A173" s="1"/>
      <c r="B173" s="1"/>
      <c r="C173" s="24"/>
      <c r="D173" s="1"/>
      <c r="E173" s="15"/>
      <c r="F173" s="1"/>
      <c r="G173" s="32"/>
      <c r="H173" s="1"/>
      <c r="I173" s="1"/>
    </row>
    <row r="174" spans="1:9" x14ac:dyDescent="0.35">
      <c r="A174" s="1"/>
      <c r="B174" s="1"/>
      <c r="C174" s="24"/>
      <c r="D174" s="1"/>
      <c r="E174" s="15"/>
      <c r="F174" s="1"/>
      <c r="G174" s="32"/>
      <c r="H174" s="1"/>
      <c r="I174" s="1"/>
    </row>
    <row r="175" spans="1:9" x14ac:dyDescent="0.35">
      <c r="A175" s="1"/>
      <c r="B175" s="1"/>
      <c r="C175" s="24"/>
      <c r="D175" s="1"/>
      <c r="E175" s="15"/>
      <c r="F175" s="1"/>
      <c r="G175" s="32"/>
      <c r="H175" s="1"/>
      <c r="I175" s="1"/>
    </row>
    <row r="176" spans="1:9" x14ac:dyDescent="0.35">
      <c r="A176" s="1"/>
      <c r="B176" s="1"/>
      <c r="C176" s="24"/>
      <c r="D176" s="1"/>
      <c r="E176" s="15"/>
      <c r="F176" s="1"/>
      <c r="G176" s="32"/>
      <c r="H176" s="1"/>
      <c r="I176" s="1"/>
    </row>
    <row r="177" spans="1:9" x14ac:dyDescent="0.35">
      <c r="A177" s="1"/>
      <c r="B177" s="1"/>
      <c r="C177" s="24"/>
      <c r="D177" s="1"/>
      <c r="E177" s="15"/>
      <c r="F177" s="1"/>
      <c r="G177" s="32"/>
      <c r="H177" s="1"/>
      <c r="I177" s="1"/>
    </row>
    <row r="178" spans="1:9" x14ac:dyDescent="0.35">
      <c r="A178" s="1"/>
      <c r="B178" s="1"/>
      <c r="C178" s="24"/>
      <c r="D178" s="1"/>
      <c r="E178" s="15"/>
      <c r="F178" s="1"/>
      <c r="G178" s="32"/>
      <c r="H178" s="1"/>
      <c r="I178" s="1"/>
    </row>
    <row r="179" spans="1:9" x14ac:dyDescent="0.35">
      <c r="A179" s="1"/>
      <c r="B179" s="1"/>
      <c r="C179" s="24"/>
      <c r="D179" s="1"/>
      <c r="E179" s="15"/>
      <c r="F179" s="1"/>
      <c r="G179" s="32"/>
      <c r="H179" s="1"/>
      <c r="I179" s="1"/>
    </row>
    <row r="180" spans="1:9" x14ac:dyDescent="0.35">
      <c r="A180" s="1"/>
      <c r="B180" s="1"/>
      <c r="C180" s="24"/>
      <c r="D180" s="1"/>
      <c r="E180" s="15"/>
      <c r="F180" s="1"/>
      <c r="G180" s="32"/>
      <c r="H180" s="1"/>
      <c r="I180" s="1"/>
    </row>
    <row r="181" spans="1:9" x14ac:dyDescent="0.35">
      <c r="A181" s="1"/>
      <c r="B181" s="1"/>
      <c r="C181" s="24"/>
      <c r="D181" s="1"/>
      <c r="E181" s="15"/>
      <c r="F181" s="1"/>
      <c r="G181" s="32"/>
      <c r="H181" s="1"/>
      <c r="I181" s="1"/>
    </row>
    <row r="182" spans="1:9" x14ac:dyDescent="0.35">
      <c r="A182" s="1"/>
      <c r="B182" s="1"/>
      <c r="C182" s="24"/>
      <c r="D182" s="1"/>
      <c r="E182" s="15"/>
      <c r="F182" s="1"/>
      <c r="G182" s="32"/>
      <c r="H182" s="1"/>
      <c r="I182" s="1"/>
    </row>
    <row r="183" spans="1:9" x14ac:dyDescent="0.35">
      <c r="A183" s="1"/>
      <c r="B183" s="1"/>
      <c r="C183" s="24"/>
      <c r="D183" s="1"/>
      <c r="E183" s="15"/>
      <c r="F183" s="1"/>
      <c r="G183" s="32"/>
      <c r="H183" s="1"/>
      <c r="I183" s="1"/>
    </row>
    <row r="184" spans="1:9" x14ac:dyDescent="0.35">
      <c r="A184" s="1"/>
      <c r="B184" s="1"/>
      <c r="C184" s="24"/>
      <c r="D184" s="1"/>
      <c r="E184" s="15"/>
      <c r="F184" s="1"/>
      <c r="G184" s="32"/>
      <c r="H184" s="1"/>
      <c r="I184" s="1"/>
    </row>
    <row r="185" spans="1:9" x14ac:dyDescent="0.35">
      <c r="A185" s="1"/>
      <c r="B185" s="1"/>
      <c r="C185" s="24"/>
      <c r="D185" s="1"/>
      <c r="E185" s="15"/>
      <c r="F185" s="1"/>
      <c r="G185" s="32"/>
      <c r="H185" s="1"/>
      <c r="I185" s="1"/>
    </row>
    <row r="186" spans="1:9" x14ac:dyDescent="0.35">
      <c r="A186" s="1"/>
      <c r="B186" s="1"/>
      <c r="C186" s="24"/>
      <c r="D186" s="1"/>
      <c r="E186" s="15"/>
      <c r="F186" s="1"/>
      <c r="G186" s="32"/>
      <c r="H186" s="1"/>
      <c r="I186" s="1"/>
    </row>
    <row r="187" spans="1:9" x14ac:dyDescent="0.35">
      <c r="A187" s="1"/>
      <c r="B187" s="1"/>
      <c r="C187" s="24"/>
      <c r="D187" s="1"/>
      <c r="E187" s="15"/>
      <c r="F187" s="1"/>
      <c r="G187" s="32"/>
      <c r="H187" s="1"/>
      <c r="I187" s="1"/>
    </row>
    <row r="188" spans="1:9" x14ac:dyDescent="0.35">
      <c r="A188" s="1"/>
      <c r="B188" s="1"/>
      <c r="C188" s="24"/>
      <c r="D188" s="1"/>
      <c r="E188" s="15"/>
      <c r="F188" s="1"/>
      <c r="G188" s="32"/>
      <c r="H188" s="1"/>
      <c r="I188" s="1"/>
    </row>
    <row r="189" spans="1:9" x14ac:dyDescent="0.35">
      <c r="A189" s="1"/>
      <c r="B189" s="1"/>
      <c r="C189" s="24"/>
      <c r="D189" s="1"/>
      <c r="E189" s="15"/>
      <c r="F189" s="1"/>
      <c r="G189" s="32"/>
      <c r="H189" s="1"/>
      <c r="I189" s="1"/>
    </row>
    <row r="190" spans="1:9" x14ac:dyDescent="0.35">
      <c r="A190" s="1"/>
      <c r="B190" s="1"/>
      <c r="C190" s="24"/>
      <c r="D190" s="1"/>
      <c r="E190" s="15"/>
      <c r="F190" s="1"/>
      <c r="G190" s="32"/>
      <c r="H190" s="1"/>
      <c r="I190" s="1"/>
    </row>
    <row r="191" spans="1:9" x14ac:dyDescent="0.35">
      <c r="A191" s="1"/>
      <c r="B191" s="1"/>
      <c r="C191" s="24"/>
      <c r="D191" s="1"/>
      <c r="E191" s="15"/>
      <c r="F191" s="1"/>
      <c r="G191" s="32"/>
      <c r="H191" s="1"/>
      <c r="I191" s="1"/>
    </row>
    <row r="192" spans="1:9" x14ac:dyDescent="0.35">
      <c r="A192" s="1"/>
      <c r="B192" s="1"/>
      <c r="C192" s="24"/>
      <c r="D192" s="1"/>
      <c r="E192" s="15"/>
      <c r="F192" s="1"/>
      <c r="G192" s="32"/>
      <c r="H192" s="1"/>
      <c r="I192" s="1"/>
    </row>
    <row r="193" spans="1:9" x14ac:dyDescent="0.35">
      <c r="A193" s="1"/>
      <c r="B193" s="1"/>
      <c r="C193" s="24"/>
      <c r="D193" s="1"/>
      <c r="E193" s="15"/>
      <c r="F193" s="1"/>
      <c r="G193" s="32"/>
      <c r="H193" s="1"/>
      <c r="I193" s="1"/>
    </row>
    <row r="194" spans="1:9" x14ac:dyDescent="0.35">
      <c r="A194" s="1"/>
      <c r="B194" s="1"/>
      <c r="C194" s="24"/>
      <c r="D194" s="1"/>
      <c r="E194" s="15"/>
      <c r="F194" s="1"/>
      <c r="G194" s="32"/>
      <c r="H194" s="1"/>
      <c r="I194" s="1"/>
    </row>
    <row r="195" spans="1:9" x14ac:dyDescent="0.35">
      <c r="A195" s="1"/>
      <c r="B195" s="1"/>
      <c r="C195" s="24"/>
      <c r="D195" s="1"/>
      <c r="E195" s="15"/>
      <c r="F195" s="1"/>
      <c r="G195" s="32"/>
      <c r="H195" s="1"/>
      <c r="I195" s="1"/>
    </row>
    <row r="196" spans="1:9" x14ac:dyDescent="0.35">
      <c r="A196" s="1"/>
      <c r="B196" s="1"/>
      <c r="C196" s="24"/>
      <c r="D196" s="1"/>
      <c r="E196" s="15"/>
      <c r="F196" s="1"/>
      <c r="G196" s="32"/>
      <c r="H196" s="1"/>
      <c r="I196" s="1"/>
    </row>
    <row r="197" spans="1:9" x14ac:dyDescent="0.35">
      <c r="A197" s="1"/>
      <c r="B197" s="1"/>
      <c r="C197" s="24"/>
      <c r="D197" s="1"/>
      <c r="E197" s="15"/>
      <c r="F197" s="1"/>
      <c r="G197" s="32"/>
      <c r="H197" s="1"/>
      <c r="I197" s="1"/>
    </row>
    <row r="198" spans="1:9" x14ac:dyDescent="0.35">
      <c r="A198" s="1"/>
      <c r="B198" s="1"/>
      <c r="C198" s="24"/>
      <c r="D198" s="1"/>
      <c r="E198" s="15"/>
      <c r="F198" s="1"/>
      <c r="G198" s="32"/>
      <c r="H198" s="1"/>
      <c r="I198" s="1"/>
    </row>
    <row r="199" spans="1:9" x14ac:dyDescent="0.35">
      <c r="A199" s="1"/>
      <c r="B199" s="1"/>
      <c r="C199" s="24"/>
      <c r="D199" s="1"/>
      <c r="E199" s="15"/>
      <c r="F199" s="1"/>
      <c r="G199" s="32"/>
      <c r="H199" s="1"/>
      <c r="I199" s="1"/>
    </row>
    <row r="200" spans="1:9" x14ac:dyDescent="0.35">
      <c r="A200" s="1"/>
      <c r="B200" s="1"/>
      <c r="C200" s="24"/>
      <c r="D200" s="1"/>
      <c r="E200" s="15"/>
      <c r="F200" s="1"/>
      <c r="G200" s="32"/>
      <c r="H200" s="1"/>
      <c r="I200" s="1"/>
    </row>
    <row r="201" spans="1:9" x14ac:dyDescent="0.35">
      <c r="A201" s="1"/>
      <c r="B201" s="1"/>
      <c r="C201" s="24"/>
      <c r="D201" s="1"/>
      <c r="E201" s="15"/>
      <c r="F201" s="1"/>
      <c r="G201" s="32"/>
      <c r="H201" s="1"/>
      <c r="I201" s="1"/>
    </row>
    <row r="202" spans="1:9" x14ac:dyDescent="0.35">
      <c r="A202" s="1"/>
      <c r="B202" s="1"/>
      <c r="C202" s="24"/>
      <c r="D202" s="1"/>
      <c r="E202" s="15"/>
      <c r="F202" s="1"/>
      <c r="G202" s="32"/>
      <c r="H202" s="1"/>
      <c r="I202" s="1"/>
    </row>
    <row r="203" spans="1:9" x14ac:dyDescent="0.35">
      <c r="A203" s="1"/>
      <c r="B203" s="1"/>
      <c r="C203" s="24"/>
      <c r="D203" s="1"/>
      <c r="E203" s="15"/>
      <c r="F203" s="1"/>
      <c r="G203" s="32"/>
      <c r="H203" s="1"/>
      <c r="I203" s="1"/>
    </row>
    <row r="204" spans="1:9" x14ac:dyDescent="0.35">
      <c r="A204" s="1"/>
      <c r="B204" s="1"/>
      <c r="C204" s="24"/>
      <c r="D204" s="1"/>
      <c r="E204" s="15"/>
      <c r="F204" s="1"/>
      <c r="G204" s="32"/>
      <c r="H204" s="1"/>
      <c r="I204" s="1"/>
    </row>
    <row r="205" spans="1:9" x14ac:dyDescent="0.35">
      <c r="A205" s="1"/>
      <c r="B205" s="1"/>
      <c r="C205" s="24"/>
      <c r="D205" s="1"/>
      <c r="E205" s="15"/>
      <c r="F205" s="1"/>
      <c r="G205" s="32"/>
      <c r="H205" s="1"/>
      <c r="I205" s="1"/>
    </row>
    <row r="206" spans="1:9" x14ac:dyDescent="0.35">
      <c r="A206" s="1"/>
      <c r="B206" s="1"/>
      <c r="C206" s="24"/>
      <c r="D206" s="1"/>
      <c r="E206" s="15"/>
      <c r="F206" s="1"/>
      <c r="G206" s="32"/>
      <c r="H206" s="1"/>
      <c r="I206" s="1"/>
    </row>
    <row r="207" spans="1:9" x14ac:dyDescent="0.35">
      <c r="A207" s="1"/>
      <c r="B207" s="1"/>
      <c r="C207" s="24"/>
      <c r="D207" s="1"/>
      <c r="E207" s="15"/>
      <c r="F207" s="1"/>
      <c r="G207" s="32"/>
      <c r="H207" s="1"/>
      <c r="I207" s="1"/>
    </row>
    <row r="208" spans="1:9" x14ac:dyDescent="0.35">
      <c r="A208" s="1"/>
      <c r="B208" s="1"/>
      <c r="C208" s="24"/>
      <c r="D208" s="1"/>
      <c r="E208" s="15"/>
      <c r="F208" s="1"/>
      <c r="G208" s="32"/>
      <c r="H208" s="1"/>
      <c r="I208" s="1"/>
    </row>
    <row r="209" spans="1:9" x14ac:dyDescent="0.35">
      <c r="A209" s="1"/>
      <c r="B209" s="1"/>
      <c r="C209" s="24"/>
      <c r="D209" s="1"/>
      <c r="E209" s="15"/>
      <c r="F209" s="1"/>
      <c r="G209" s="32"/>
      <c r="H209" s="1"/>
      <c r="I209" s="1"/>
    </row>
    <row r="210" spans="1:9" x14ac:dyDescent="0.35">
      <c r="A210" s="1"/>
      <c r="B210" s="1"/>
      <c r="C210" s="24"/>
      <c r="D210" s="1"/>
      <c r="E210" s="15"/>
      <c r="F210" s="1"/>
      <c r="G210" s="32"/>
      <c r="H210" s="1"/>
      <c r="I210" s="1"/>
    </row>
    <row r="211" spans="1:9" x14ac:dyDescent="0.35">
      <c r="A211" s="1"/>
      <c r="B211" s="1"/>
      <c r="C211" s="24"/>
      <c r="D211" s="1"/>
      <c r="E211" s="15"/>
      <c r="F211" s="1"/>
      <c r="G211" s="32"/>
      <c r="H211" s="1"/>
      <c r="I211" s="1"/>
    </row>
    <row r="212" spans="1:9" x14ac:dyDescent="0.35">
      <c r="A212" s="1"/>
      <c r="B212" s="1"/>
      <c r="C212" s="24"/>
      <c r="D212" s="1"/>
      <c r="E212" s="15"/>
      <c r="F212" s="1"/>
      <c r="G212" s="32"/>
      <c r="H212" s="1"/>
      <c r="I212" s="1"/>
    </row>
    <row r="213" spans="1:9" x14ac:dyDescent="0.35">
      <c r="A213" s="1"/>
      <c r="B213" s="1"/>
      <c r="C213" s="24"/>
      <c r="D213" s="1"/>
      <c r="E213" s="15"/>
      <c r="F213" s="1"/>
      <c r="G213" s="32"/>
      <c r="H213" s="1"/>
      <c r="I213" s="1"/>
    </row>
    <row r="214" spans="1:9" x14ac:dyDescent="0.35">
      <c r="A214" s="1"/>
      <c r="B214" s="1"/>
      <c r="C214" s="24"/>
      <c r="D214" s="1"/>
      <c r="E214" s="15"/>
      <c r="F214" s="1"/>
      <c r="G214" s="32"/>
      <c r="H214" s="1"/>
      <c r="I214" s="1"/>
    </row>
    <row r="215" spans="1:9" x14ac:dyDescent="0.35">
      <c r="A215" s="1"/>
      <c r="B215" s="1"/>
      <c r="C215" s="24"/>
      <c r="D215" s="1"/>
      <c r="E215" s="15"/>
      <c r="F215" s="1"/>
      <c r="G215" s="32"/>
      <c r="H215" s="1"/>
      <c r="I215" s="1"/>
    </row>
    <row r="216" spans="1:9" x14ac:dyDescent="0.35">
      <c r="A216" s="1"/>
      <c r="B216" s="1"/>
      <c r="C216" s="24"/>
      <c r="D216" s="1"/>
      <c r="E216" s="15"/>
      <c r="F216" s="1"/>
      <c r="G216" s="32"/>
      <c r="H216" s="1"/>
      <c r="I216" s="1"/>
    </row>
    <row r="217" spans="1:9" x14ac:dyDescent="0.35">
      <c r="A217" s="1"/>
      <c r="B217" s="1"/>
      <c r="C217" s="24"/>
      <c r="D217" s="1"/>
      <c r="E217" s="15"/>
      <c r="F217" s="1"/>
      <c r="G217" s="32"/>
      <c r="H217" s="1"/>
      <c r="I217" s="1"/>
    </row>
    <row r="218" spans="1:9" x14ac:dyDescent="0.35">
      <c r="A218" s="1"/>
      <c r="B218" s="1"/>
      <c r="C218" s="24"/>
      <c r="D218" s="1"/>
      <c r="E218" s="15"/>
      <c r="F218" s="1"/>
      <c r="G218" s="32"/>
      <c r="H218" s="1"/>
      <c r="I218" s="1"/>
    </row>
    <row r="219" spans="1:9" x14ac:dyDescent="0.35">
      <c r="A219" s="1"/>
      <c r="B219" s="1"/>
      <c r="C219" s="24"/>
      <c r="D219" s="1"/>
      <c r="E219" s="15"/>
      <c r="F219" s="1"/>
      <c r="G219" s="32"/>
      <c r="H219" s="1"/>
      <c r="I219" s="1"/>
    </row>
    <row r="220" spans="1:9" x14ac:dyDescent="0.35">
      <c r="A220" s="1"/>
      <c r="B220" s="1"/>
      <c r="C220" s="24"/>
      <c r="D220" s="1"/>
      <c r="E220" s="15"/>
      <c r="F220" s="1"/>
      <c r="G220" s="32"/>
      <c r="H220" s="1"/>
      <c r="I220" s="1"/>
    </row>
    <row r="221" spans="1:9" x14ac:dyDescent="0.35">
      <c r="A221" s="1"/>
      <c r="B221" s="1"/>
      <c r="C221" s="24"/>
      <c r="D221" s="1"/>
      <c r="E221" s="15"/>
      <c r="F221" s="1"/>
      <c r="G221" s="32"/>
      <c r="H221" s="1"/>
      <c r="I221" s="1"/>
    </row>
    <row r="222" spans="1:9" x14ac:dyDescent="0.35">
      <c r="A222" s="1"/>
      <c r="B222" s="1"/>
      <c r="C222" s="24"/>
      <c r="D222" s="1"/>
      <c r="E222" s="15"/>
      <c r="F222" s="1"/>
      <c r="G222" s="32"/>
      <c r="H222" s="1"/>
      <c r="I222" s="1"/>
    </row>
    <row r="223" spans="1:9" x14ac:dyDescent="0.35">
      <c r="A223" s="1"/>
      <c r="B223" s="1"/>
      <c r="C223" s="24"/>
      <c r="D223" s="1"/>
      <c r="E223" s="15"/>
      <c r="F223" s="1"/>
      <c r="G223" s="32"/>
      <c r="H223" s="1"/>
      <c r="I223" s="1"/>
    </row>
    <row r="224" spans="1:9" x14ac:dyDescent="0.35">
      <c r="A224" s="1"/>
      <c r="B224" s="1"/>
      <c r="C224" s="24"/>
      <c r="D224" s="1"/>
      <c r="E224" s="15"/>
      <c r="F224" s="1"/>
      <c r="G224" s="32"/>
      <c r="H224" s="1"/>
      <c r="I224" s="1"/>
    </row>
    <row r="225" spans="1:9" x14ac:dyDescent="0.35">
      <c r="A225" s="1"/>
      <c r="B225" s="1"/>
      <c r="C225" s="24"/>
      <c r="D225" s="1"/>
      <c r="E225" s="15"/>
      <c r="F225" s="1"/>
      <c r="G225" s="32"/>
      <c r="H225" s="1"/>
      <c r="I225" s="1"/>
    </row>
    <row r="226" spans="1:9" x14ac:dyDescent="0.35">
      <c r="A226" s="1"/>
      <c r="B226" s="1"/>
      <c r="C226" s="24"/>
      <c r="D226" s="1"/>
      <c r="E226" s="15"/>
      <c r="F226" s="1"/>
      <c r="G226" s="32"/>
      <c r="H226" s="1"/>
      <c r="I226" s="1"/>
    </row>
    <row r="227" spans="1:9" x14ac:dyDescent="0.35">
      <c r="A227" s="1"/>
      <c r="B227" s="1"/>
      <c r="C227" s="24"/>
      <c r="D227" s="1"/>
      <c r="E227" s="15"/>
      <c r="F227" s="1"/>
      <c r="G227" s="32"/>
      <c r="H227" s="1"/>
      <c r="I227" s="1"/>
    </row>
    <row r="228" spans="1:9" x14ac:dyDescent="0.35">
      <c r="A228" s="1"/>
      <c r="B228" s="1"/>
      <c r="C228" s="24"/>
      <c r="D228" s="1"/>
      <c r="E228" s="15"/>
      <c r="F228" s="1"/>
      <c r="G228" s="32"/>
      <c r="H228" s="1"/>
      <c r="I228" s="1"/>
    </row>
    <row r="229" spans="1:9" x14ac:dyDescent="0.35">
      <c r="A229" s="1"/>
      <c r="B229" s="1"/>
      <c r="C229" s="24"/>
      <c r="D229" s="1"/>
      <c r="E229" s="15"/>
      <c r="F229" s="1"/>
      <c r="G229" s="32"/>
      <c r="H229" s="1"/>
      <c r="I229" s="1"/>
    </row>
    <row r="230" spans="1:9" x14ac:dyDescent="0.35">
      <c r="A230" s="1"/>
      <c r="B230" s="1"/>
      <c r="C230" s="24"/>
      <c r="D230" s="1"/>
      <c r="E230" s="15"/>
      <c r="F230" s="1"/>
      <c r="G230" s="32"/>
      <c r="H230" s="1"/>
      <c r="I230" s="1"/>
    </row>
    <row r="231" spans="1:9" x14ac:dyDescent="0.35">
      <c r="A231" s="1"/>
      <c r="B231" s="1"/>
      <c r="C231" s="24"/>
      <c r="D231" s="1"/>
      <c r="E231" s="15"/>
      <c r="F231" s="1"/>
      <c r="G231" s="32"/>
      <c r="H231" s="1"/>
      <c r="I231" s="1"/>
    </row>
    <row r="232" spans="1:9" x14ac:dyDescent="0.35">
      <c r="A232" s="1"/>
      <c r="B232" s="1"/>
      <c r="C232" s="24"/>
      <c r="D232" s="1"/>
      <c r="E232" s="15"/>
      <c r="F232" s="1"/>
      <c r="G232" s="32"/>
      <c r="H232" s="1"/>
      <c r="I232" s="1"/>
    </row>
    <row r="233" spans="1:9" x14ac:dyDescent="0.35">
      <c r="A233" s="1"/>
      <c r="B233" s="1"/>
      <c r="C233" s="24"/>
      <c r="D233" s="1"/>
      <c r="E233" s="15"/>
      <c r="F233" s="1"/>
      <c r="G233" s="32"/>
      <c r="H233" s="1"/>
      <c r="I233" s="1"/>
    </row>
    <row r="234" spans="1:9" x14ac:dyDescent="0.35">
      <c r="A234" s="1"/>
      <c r="B234" s="1"/>
      <c r="C234" s="24"/>
      <c r="D234" s="1"/>
      <c r="E234" s="15"/>
      <c r="F234" s="1"/>
      <c r="G234" s="32"/>
      <c r="H234" s="1"/>
      <c r="I234" s="1"/>
    </row>
    <row r="235" spans="1:9" x14ac:dyDescent="0.35">
      <c r="A235" s="1"/>
      <c r="B235" s="1"/>
      <c r="C235" s="24"/>
      <c r="D235" s="1"/>
      <c r="E235" s="15"/>
      <c r="F235" s="1"/>
      <c r="G235" s="32"/>
      <c r="H235" s="1"/>
      <c r="I235" s="1"/>
    </row>
    <row r="236" spans="1:9" x14ac:dyDescent="0.35">
      <c r="A236" s="1"/>
      <c r="B236" s="1"/>
      <c r="C236" s="24"/>
      <c r="D236" s="1"/>
      <c r="E236" s="15"/>
      <c r="F236" s="1"/>
      <c r="G236" s="32"/>
      <c r="H236" s="1"/>
      <c r="I236" s="1"/>
    </row>
    <row r="237" spans="1:9" x14ac:dyDescent="0.35">
      <c r="A237" s="1"/>
      <c r="B237" s="1"/>
      <c r="C237" s="24"/>
      <c r="D237" s="1"/>
      <c r="E237" s="15"/>
      <c r="F237" s="1"/>
      <c r="G237" s="32"/>
      <c r="H237" s="1"/>
      <c r="I237" s="1"/>
    </row>
    <row r="238" spans="1:9" x14ac:dyDescent="0.35">
      <c r="A238" s="1"/>
      <c r="B238" s="1"/>
      <c r="C238" s="24"/>
      <c r="D238" s="1"/>
      <c r="E238" s="15"/>
      <c r="F238" s="1"/>
      <c r="G238" s="32"/>
      <c r="H238" s="1"/>
      <c r="I238" s="1"/>
    </row>
    <row r="239" spans="1:9" x14ac:dyDescent="0.35">
      <c r="A239" s="1"/>
      <c r="B239" s="1"/>
      <c r="C239" s="24"/>
      <c r="D239" s="1"/>
      <c r="E239" s="15"/>
      <c r="F239" s="1"/>
      <c r="G239" s="32"/>
      <c r="H239" s="1"/>
      <c r="I239" s="1"/>
    </row>
    <row r="240" spans="1:9" x14ac:dyDescent="0.35">
      <c r="A240" s="1"/>
      <c r="B240" s="1"/>
      <c r="C240" s="24"/>
      <c r="D240" s="1"/>
      <c r="E240" s="15"/>
      <c r="F240" s="1"/>
      <c r="G240" s="32"/>
      <c r="H240" s="1"/>
      <c r="I240" s="1"/>
    </row>
    <row r="241" spans="1:9" x14ac:dyDescent="0.35">
      <c r="A241" s="1"/>
      <c r="B241" s="1"/>
      <c r="C241" s="24"/>
      <c r="D241" s="1"/>
      <c r="E241" s="15"/>
      <c r="F241" s="1"/>
      <c r="G241" s="32"/>
      <c r="H241" s="1"/>
      <c r="I241" s="1"/>
    </row>
    <row r="242" spans="1:9" x14ac:dyDescent="0.35">
      <c r="A242" s="1"/>
      <c r="B242" s="1"/>
      <c r="C242" s="24"/>
      <c r="D242" s="1"/>
      <c r="E242" s="15"/>
      <c r="F242" s="1"/>
      <c r="G242" s="32"/>
      <c r="H242" s="1"/>
      <c r="I242" s="1"/>
    </row>
    <row r="243" spans="1:9" x14ac:dyDescent="0.35">
      <c r="A243" s="1"/>
      <c r="B243" s="1"/>
      <c r="C243" s="24"/>
      <c r="D243" s="1"/>
      <c r="E243" s="15"/>
      <c r="F243" s="1"/>
      <c r="G243" s="32"/>
      <c r="H243" s="1"/>
      <c r="I243" s="1"/>
    </row>
    <row r="244" spans="1:9" x14ac:dyDescent="0.35">
      <c r="A244" s="1"/>
      <c r="B244" s="1"/>
      <c r="C244" s="24"/>
      <c r="D244" s="1"/>
      <c r="E244" s="15"/>
      <c r="F244" s="1"/>
      <c r="G244" s="32"/>
      <c r="H244" s="1"/>
      <c r="I244" s="1"/>
    </row>
    <row r="245" spans="1:9" x14ac:dyDescent="0.35">
      <c r="A245" s="1"/>
      <c r="B245" s="1"/>
      <c r="C245" s="24"/>
      <c r="D245" s="1"/>
      <c r="E245" s="15"/>
      <c r="F245" s="1"/>
      <c r="G245" s="32"/>
      <c r="H245" s="1"/>
      <c r="I245" s="1"/>
    </row>
    <row r="246" spans="1:9" x14ac:dyDescent="0.35">
      <c r="A246" s="1"/>
      <c r="B246" s="1"/>
      <c r="C246" s="24"/>
      <c r="D246" s="1"/>
      <c r="E246" s="15"/>
      <c r="F246" s="1"/>
      <c r="G246" s="32"/>
      <c r="H246" s="1"/>
      <c r="I246" s="1"/>
    </row>
    <row r="247" spans="1:9" x14ac:dyDescent="0.35">
      <c r="A247" s="1"/>
      <c r="B247" s="1"/>
      <c r="C247" s="24"/>
      <c r="D247" s="1"/>
      <c r="E247" s="15"/>
      <c r="F247" s="1"/>
      <c r="G247" s="32"/>
      <c r="H247" s="1"/>
      <c r="I247" s="1"/>
    </row>
    <row r="248" spans="1:9" x14ac:dyDescent="0.35">
      <c r="A248" s="1"/>
      <c r="B248" s="1"/>
      <c r="C248" s="24"/>
      <c r="D248" s="1"/>
      <c r="E248" s="15"/>
      <c r="F248" s="1"/>
      <c r="G248" s="32"/>
      <c r="H248" s="1"/>
      <c r="I248" s="1"/>
    </row>
    <row r="249" spans="1:9" x14ac:dyDescent="0.35">
      <c r="A249" s="1"/>
      <c r="B249" s="1"/>
      <c r="C249" s="24"/>
      <c r="D249" s="1"/>
      <c r="E249" s="15"/>
      <c r="F249" s="1"/>
      <c r="G249" s="32"/>
      <c r="H249" s="1"/>
      <c r="I249" s="1"/>
    </row>
    <row r="250" spans="1:9" x14ac:dyDescent="0.35">
      <c r="A250" s="1"/>
      <c r="B250" s="1"/>
      <c r="C250" s="24"/>
      <c r="D250" s="1"/>
      <c r="E250" s="15"/>
      <c r="F250" s="1"/>
      <c r="G250" s="32"/>
      <c r="H250" s="1"/>
      <c r="I250" s="1"/>
    </row>
    <row r="251" spans="1:9" x14ac:dyDescent="0.35">
      <c r="A251" s="1"/>
      <c r="B251" s="1"/>
      <c r="C251" s="24"/>
      <c r="D251" s="1"/>
      <c r="E251" s="15"/>
      <c r="F251" s="1"/>
      <c r="G251" s="32"/>
      <c r="H251" s="1"/>
      <c r="I251" s="1"/>
    </row>
    <row r="252" spans="1:9" x14ac:dyDescent="0.35">
      <c r="A252" s="1"/>
      <c r="B252" s="1"/>
      <c r="C252" s="24"/>
      <c r="D252" s="1"/>
      <c r="E252" s="15"/>
      <c r="F252" s="1"/>
      <c r="G252" s="32"/>
      <c r="H252" s="1"/>
      <c r="I252" s="1"/>
    </row>
    <row r="253" spans="1:9" x14ac:dyDescent="0.35">
      <c r="A253" s="1"/>
      <c r="B253" s="1"/>
      <c r="C253" s="24"/>
      <c r="D253" s="1"/>
      <c r="E253" s="15"/>
      <c r="F253" s="1"/>
      <c r="G253" s="32"/>
      <c r="H253" s="1"/>
      <c r="I253" s="1"/>
    </row>
    <row r="254" spans="1:9" x14ac:dyDescent="0.35">
      <c r="A254" s="1"/>
      <c r="B254" s="1"/>
      <c r="C254" s="24"/>
      <c r="D254" s="1"/>
      <c r="E254" s="15"/>
      <c r="F254" s="1"/>
      <c r="G254" s="32"/>
      <c r="H254" s="1"/>
      <c r="I254" s="1"/>
    </row>
    <row r="255" spans="1:9" x14ac:dyDescent="0.35">
      <c r="A255" s="1"/>
      <c r="B255" s="1"/>
      <c r="C255" s="24"/>
      <c r="D255" s="1"/>
      <c r="E255" s="15"/>
      <c r="F255" s="1"/>
      <c r="G255" s="32"/>
      <c r="H255" s="1"/>
      <c r="I255" s="1"/>
    </row>
    <row r="256" spans="1:9" x14ac:dyDescent="0.35">
      <c r="A256" s="1"/>
      <c r="B256" s="1"/>
      <c r="C256" s="24"/>
      <c r="D256" s="1"/>
      <c r="E256" s="15"/>
      <c r="F256" s="1"/>
      <c r="G256" s="32"/>
      <c r="H256" s="1"/>
      <c r="I256" s="1"/>
    </row>
    <row r="257" spans="1:9" x14ac:dyDescent="0.35">
      <c r="A257" s="1"/>
      <c r="B257" s="1"/>
      <c r="C257" s="24"/>
      <c r="D257" s="1"/>
      <c r="E257" s="15"/>
      <c r="F257" s="1"/>
      <c r="G257" s="32"/>
      <c r="H257" s="1"/>
      <c r="I257" s="1"/>
    </row>
    <row r="258" spans="1:9" x14ac:dyDescent="0.35">
      <c r="A258" s="1"/>
      <c r="B258" s="1"/>
      <c r="C258" s="24"/>
      <c r="D258" s="1"/>
      <c r="E258" s="15"/>
      <c r="F258" s="1"/>
      <c r="G258" s="32"/>
      <c r="H258" s="1"/>
      <c r="I258" s="1"/>
    </row>
    <row r="259" spans="1:9" x14ac:dyDescent="0.35">
      <c r="A259" s="1"/>
      <c r="B259" s="1"/>
      <c r="C259" s="24"/>
      <c r="D259" s="1"/>
      <c r="E259" s="15"/>
      <c r="F259" s="1"/>
      <c r="G259" s="32"/>
      <c r="H259" s="1"/>
      <c r="I259" s="1"/>
    </row>
    <row r="260" spans="1:9" x14ac:dyDescent="0.35">
      <c r="A260" s="1"/>
      <c r="B260" s="1"/>
      <c r="C260" s="24"/>
      <c r="D260" s="1"/>
      <c r="E260" s="15"/>
      <c r="F260" s="1"/>
      <c r="G260" s="32"/>
      <c r="H260" s="1"/>
      <c r="I260" s="1"/>
    </row>
    <row r="261" spans="1:9" x14ac:dyDescent="0.35">
      <c r="A261" s="1"/>
      <c r="B261" s="1"/>
      <c r="C261" s="24"/>
      <c r="D261" s="1"/>
      <c r="E261" s="15"/>
      <c r="F261" s="1"/>
      <c r="G261" s="32"/>
      <c r="H261" s="1"/>
      <c r="I261" s="1"/>
    </row>
    <row r="262" spans="1:9" x14ac:dyDescent="0.35">
      <c r="A262" s="1"/>
      <c r="B262" s="1"/>
      <c r="C262" s="24"/>
      <c r="D262" s="1"/>
      <c r="E262" s="15"/>
      <c r="F262" s="1"/>
      <c r="G262" s="32"/>
      <c r="H262" s="1"/>
      <c r="I262" s="1"/>
    </row>
    <row r="263" spans="1:9" x14ac:dyDescent="0.35">
      <c r="A263" s="1"/>
      <c r="B263" s="1"/>
      <c r="C263" s="24"/>
      <c r="D263" s="1"/>
      <c r="E263" s="15"/>
      <c r="F263" s="1"/>
      <c r="G263" s="32"/>
      <c r="H263" s="1"/>
      <c r="I263" s="1"/>
    </row>
    <row r="264" spans="1:9" x14ac:dyDescent="0.35">
      <c r="A264" s="1"/>
      <c r="B264" s="1"/>
      <c r="C264" s="24"/>
      <c r="D264" s="1"/>
      <c r="E264" s="15"/>
      <c r="F264" s="1"/>
      <c r="G264" s="32"/>
      <c r="H264" s="1"/>
      <c r="I264" s="1"/>
    </row>
    <row r="265" spans="1:9" x14ac:dyDescent="0.35">
      <c r="A265" s="1"/>
      <c r="B265" s="1"/>
      <c r="C265" s="24"/>
      <c r="D265" s="1"/>
      <c r="E265" s="15"/>
      <c r="F265" s="1"/>
      <c r="G265" s="32"/>
      <c r="H265" s="1"/>
      <c r="I265" s="1"/>
    </row>
    <row r="266" spans="1:9" x14ac:dyDescent="0.35">
      <c r="A266" s="1"/>
      <c r="B266" s="1"/>
      <c r="C266" s="24"/>
      <c r="D266" s="1"/>
      <c r="E266" s="15"/>
      <c r="F266" s="1"/>
      <c r="G266" s="32"/>
      <c r="H266" s="1"/>
      <c r="I266" s="1"/>
    </row>
    <row r="267" spans="1:9" x14ac:dyDescent="0.35">
      <c r="A267" s="1"/>
      <c r="B267" s="1"/>
      <c r="C267" s="24"/>
      <c r="D267" s="1"/>
      <c r="E267" s="15"/>
      <c r="F267" s="1"/>
      <c r="G267" s="32"/>
      <c r="H267" s="1"/>
      <c r="I267" s="1"/>
    </row>
    <row r="268" spans="1:9" x14ac:dyDescent="0.35">
      <c r="A268" s="1"/>
      <c r="B268" s="1"/>
      <c r="C268" s="24"/>
      <c r="D268" s="1"/>
      <c r="E268" s="15"/>
      <c r="F268" s="1"/>
      <c r="G268" s="32"/>
      <c r="H268" s="1"/>
      <c r="I268" s="1"/>
    </row>
    <row r="269" spans="1:9" x14ac:dyDescent="0.35">
      <c r="A269" s="1"/>
      <c r="B269" s="1"/>
      <c r="C269" s="24"/>
      <c r="D269" s="1"/>
      <c r="E269" s="15"/>
      <c r="F269" s="1"/>
      <c r="G269" s="32"/>
      <c r="H269" s="1"/>
      <c r="I269" s="1"/>
    </row>
    <row r="270" spans="1:9" x14ac:dyDescent="0.35">
      <c r="A270" s="1"/>
      <c r="B270" s="1"/>
      <c r="C270" s="24"/>
      <c r="D270" s="1"/>
      <c r="E270" s="15"/>
      <c r="F270" s="1"/>
      <c r="G270" s="32"/>
      <c r="H270" s="1"/>
      <c r="I270" s="1"/>
    </row>
    <row r="271" spans="1:9" x14ac:dyDescent="0.35">
      <c r="A271" s="1"/>
      <c r="B271" s="1"/>
      <c r="C271" s="24"/>
      <c r="D271" s="1"/>
      <c r="E271" s="15"/>
      <c r="F271" s="1"/>
      <c r="G271" s="32"/>
      <c r="H271" s="1"/>
      <c r="I271" s="1"/>
    </row>
    <row r="272" spans="1:9" x14ac:dyDescent="0.35">
      <c r="A272" s="1"/>
      <c r="B272" s="1"/>
      <c r="C272" s="24"/>
      <c r="D272" s="1"/>
      <c r="E272" s="15"/>
      <c r="F272" s="1"/>
      <c r="G272" s="32"/>
      <c r="H272" s="1"/>
      <c r="I272" s="1"/>
    </row>
    <row r="273" spans="1:9" x14ac:dyDescent="0.35">
      <c r="A273" s="1"/>
      <c r="B273" s="1"/>
      <c r="C273" s="24"/>
      <c r="D273" s="1"/>
      <c r="E273" s="15"/>
      <c r="F273" s="1"/>
      <c r="G273" s="32"/>
      <c r="H273" s="1"/>
      <c r="I273" s="1"/>
    </row>
    <row r="274" spans="1:9" x14ac:dyDescent="0.35">
      <c r="A274" s="1"/>
      <c r="B274" s="1"/>
      <c r="C274" s="24"/>
      <c r="D274" s="1"/>
      <c r="E274" s="15"/>
      <c r="F274" s="1"/>
      <c r="G274" s="32"/>
      <c r="H274" s="1"/>
      <c r="I274" s="1"/>
    </row>
    <row r="275" spans="1:9" x14ac:dyDescent="0.35">
      <c r="A275" s="1"/>
      <c r="B275" s="1"/>
      <c r="C275" s="24"/>
      <c r="D275" s="1"/>
      <c r="E275" s="15"/>
      <c r="F275" s="1"/>
      <c r="G275" s="32"/>
      <c r="H275" s="1"/>
      <c r="I275" s="1"/>
    </row>
    <row r="276" spans="1:9" x14ac:dyDescent="0.35">
      <c r="A276" s="1"/>
      <c r="B276" s="1"/>
      <c r="C276" s="24"/>
      <c r="D276" s="1"/>
      <c r="E276" s="15"/>
      <c r="F276" s="1"/>
      <c r="G276" s="32"/>
      <c r="H276" s="1"/>
      <c r="I276" s="1"/>
    </row>
    <row r="277" spans="1:9" x14ac:dyDescent="0.35">
      <c r="A277" s="1"/>
      <c r="B277" s="1"/>
      <c r="C277" s="24"/>
      <c r="D277" s="1"/>
      <c r="E277" s="15"/>
      <c r="F277" s="1"/>
      <c r="G277" s="32"/>
      <c r="H277" s="1"/>
      <c r="I277" s="1"/>
    </row>
    <row r="278" spans="1:9" x14ac:dyDescent="0.35">
      <c r="A278" s="1"/>
      <c r="B278" s="1"/>
      <c r="C278" s="24"/>
      <c r="D278" s="1"/>
      <c r="E278" s="15"/>
      <c r="F278" s="1"/>
      <c r="G278" s="32"/>
      <c r="H278" s="1"/>
      <c r="I278" s="1"/>
    </row>
    <row r="279" spans="1:9" x14ac:dyDescent="0.35">
      <c r="A279" s="1"/>
      <c r="B279" s="1"/>
      <c r="C279" s="24"/>
      <c r="D279" s="1"/>
      <c r="E279" s="15"/>
      <c r="F279" s="1"/>
      <c r="G279" s="32"/>
      <c r="H279" s="1"/>
      <c r="I279" s="1"/>
    </row>
    <row r="280" spans="1:9" x14ac:dyDescent="0.35">
      <c r="A280" s="1"/>
      <c r="B280" s="1"/>
      <c r="C280" s="24"/>
      <c r="D280" s="1"/>
      <c r="E280" s="15"/>
      <c r="F280" s="1"/>
      <c r="G280" s="32"/>
      <c r="H280" s="1"/>
      <c r="I280" s="1"/>
    </row>
    <row r="281" spans="1:9" x14ac:dyDescent="0.35">
      <c r="A281" s="1"/>
      <c r="B281" s="1"/>
      <c r="C281" s="24"/>
      <c r="D281" s="1"/>
      <c r="E281" s="15"/>
      <c r="F281" s="1"/>
      <c r="G281" s="32"/>
      <c r="H281" s="1"/>
      <c r="I281" s="1"/>
    </row>
    <row r="282" spans="1:9" x14ac:dyDescent="0.35">
      <c r="A282" s="1"/>
      <c r="B282" s="1"/>
      <c r="C282" s="24"/>
      <c r="D282" s="1"/>
      <c r="E282" s="15"/>
      <c r="F282" s="1"/>
      <c r="G282" s="32"/>
      <c r="H282" s="1"/>
      <c r="I282" s="1"/>
    </row>
    <row r="283" spans="1:9" x14ac:dyDescent="0.35">
      <c r="A283" s="1"/>
      <c r="B283" s="1"/>
      <c r="C283" s="24"/>
      <c r="D283" s="1"/>
      <c r="E283" s="15"/>
      <c r="F283" s="1"/>
      <c r="G283" s="32"/>
      <c r="H283" s="1"/>
      <c r="I283" s="1"/>
    </row>
    <row r="284" spans="1:9" x14ac:dyDescent="0.35">
      <c r="A284" s="1"/>
      <c r="B284" s="1"/>
      <c r="C284" s="24"/>
      <c r="D284" s="1"/>
      <c r="E284" s="15"/>
      <c r="F284" s="1"/>
      <c r="G284" s="32"/>
      <c r="H284" s="1"/>
      <c r="I284" s="1"/>
    </row>
    <row r="285" spans="1:9" x14ac:dyDescent="0.35">
      <c r="A285" s="1"/>
      <c r="B285" s="1"/>
      <c r="C285" s="24"/>
      <c r="D285" s="1"/>
      <c r="E285" s="15"/>
      <c r="F285" s="1"/>
      <c r="G285" s="32"/>
      <c r="H285" s="1"/>
      <c r="I285" s="1"/>
    </row>
    <row r="286" spans="1:9" x14ac:dyDescent="0.35">
      <c r="A286" s="1"/>
      <c r="B286" s="1"/>
      <c r="C286" s="24"/>
      <c r="D286" s="1"/>
      <c r="E286" s="15"/>
      <c r="F286" s="1"/>
      <c r="G286" s="32"/>
      <c r="H286" s="1"/>
      <c r="I286" s="1"/>
    </row>
    <row r="287" spans="1:9" x14ac:dyDescent="0.35">
      <c r="A287" s="1"/>
      <c r="B287" s="1"/>
      <c r="C287" s="24"/>
      <c r="D287" s="1"/>
      <c r="E287" s="15"/>
      <c r="F287" s="1"/>
      <c r="G287" s="32"/>
      <c r="H287" s="1"/>
      <c r="I287" s="1"/>
    </row>
    <row r="288" spans="1:9" x14ac:dyDescent="0.35">
      <c r="A288" s="1"/>
      <c r="B288" s="1"/>
      <c r="C288" s="24"/>
      <c r="D288" s="1"/>
      <c r="E288" s="15"/>
      <c r="F288" s="1"/>
      <c r="G288" s="32"/>
      <c r="H288" s="1"/>
      <c r="I288" s="1"/>
    </row>
    <row r="289" spans="1:9" x14ac:dyDescent="0.35">
      <c r="A289" s="1"/>
      <c r="B289" s="1"/>
      <c r="C289" s="24"/>
      <c r="D289" s="1"/>
      <c r="E289" s="15"/>
      <c r="F289" s="1"/>
      <c r="G289" s="32"/>
      <c r="H289" s="1"/>
      <c r="I289" s="1"/>
    </row>
    <row r="290" spans="1:9" x14ac:dyDescent="0.35">
      <c r="A290" s="1"/>
      <c r="B290" s="1"/>
      <c r="C290" s="24"/>
      <c r="D290" s="1"/>
      <c r="E290" s="15"/>
      <c r="F290" s="1"/>
      <c r="G290" s="32"/>
      <c r="H290" s="1"/>
      <c r="I290" s="1"/>
    </row>
    <row r="291" spans="1:9" x14ac:dyDescent="0.35">
      <c r="A291" s="1"/>
      <c r="B291" s="1"/>
      <c r="C291" s="24"/>
      <c r="D291" s="1"/>
      <c r="E291" s="15"/>
      <c r="F291" s="1"/>
      <c r="G291" s="32"/>
      <c r="H291" s="1"/>
      <c r="I291" s="1"/>
    </row>
    <row r="292" spans="1:9" x14ac:dyDescent="0.35">
      <c r="A292" s="1"/>
      <c r="B292" s="1"/>
      <c r="C292" s="24"/>
      <c r="D292" s="1"/>
      <c r="E292" s="15"/>
      <c r="F292" s="1"/>
      <c r="G292" s="32"/>
      <c r="H292" s="1"/>
      <c r="I292" s="1"/>
    </row>
    <row r="293" spans="1:9" x14ac:dyDescent="0.35">
      <c r="A293" s="1"/>
      <c r="B293" s="1"/>
      <c r="C293" s="24"/>
      <c r="D293" s="1"/>
      <c r="E293" s="15"/>
      <c r="F293" s="1"/>
      <c r="G293" s="32"/>
      <c r="H293" s="1"/>
      <c r="I293" s="1"/>
    </row>
    <row r="294" spans="1:9" x14ac:dyDescent="0.35">
      <c r="A294" s="1"/>
      <c r="B294" s="1"/>
      <c r="C294" s="24"/>
      <c r="D294" s="1"/>
      <c r="E294" s="15"/>
      <c r="F294" s="1"/>
      <c r="G294" s="32"/>
      <c r="H294" s="1"/>
      <c r="I294" s="1"/>
    </row>
    <row r="295" spans="1:9" x14ac:dyDescent="0.35">
      <c r="A295" s="1"/>
      <c r="B295" s="1"/>
      <c r="C295" s="24"/>
      <c r="D295" s="1"/>
      <c r="E295" s="15"/>
      <c r="F295" s="1"/>
      <c r="G295" s="32"/>
      <c r="H295" s="1"/>
      <c r="I295" s="1"/>
    </row>
    <row r="296" spans="1:9" x14ac:dyDescent="0.35">
      <c r="A296" s="1"/>
      <c r="B296" s="1"/>
      <c r="C296" s="24"/>
      <c r="D296" s="1"/>
      <c r="E296" s="15"/>
      <c r="F296" s="1"/>
      <c r="G296" s="32"/>
      <c r="H296" s="1"/>
      <c r="I296" s="1"/>
    </row>
    <row r="297" spans="1:9" x14ac:dyDescent="0.35">
      <c r="A297" s="1"/>
      <c r="B297" s="1"/>
      <c r="C297" s="24"/>
      <c r="D297" s="1"/>
      <c r="E297" s="15"/>
      <c r="F297" s="1"/>
      <c r="G297" s="32"/>
      <c r="H297" s="1"/>
      <c r="I297" s="1"/>
    </row>
    <row r="298" spans="1:9" x14ac:dyDescent="0.35">
      <c r="A298" s="1"/>
      <c r="B298" s="1"/>
      <c r="C298" s="24"/>
      <c r="D298" s="1"/>
      <c r="E298" s="15"/>
      <c r="F298" s="1"/>
      <c r="G298" s="32"/>
      <c r="H298" s="1"/>
      <c r="I298" s="1"/>
    </row>
    <row r="299" spans="1:9" x14ac:dyDescent="0.35">
      <c r="A299" s="1"/>
      <c r="B299" s="1"/>
      <c r="C299" s="24"/>
      <c r="D299" s="1"/>
      <c r="E299" s="15"/>
      <c r="F299" s="1"/>
      <c r="G299" s="32"/>
      <c r="H299" s="1"/>
      <c r="I299" s="1"/>
    </row>
    <row r="300" spans="1:9" x14ac:dyDescent="0.35">
      <c r="A300" s="1"/>
      <c r="B300" s="1"/>
      <c r="C300" s="24"/>
      <c r="D300" s="1"/>
      <c r="E300" s="15"/>
      <c r="F300" s="1"/>
      <c r="G300" s="32"/>
      <c r="H300" s="1"/>
      <c r="I300" s="1"/>
    </row>
    <row r="301" spans="1:9" x14ac:dyDescent="0.35">
      <c r="A301" s="1"/>
      <c r="B301" s="1"/>
      <c r="C301" s="24"/>
      <c r="D301" s="1"/>
      <c r="E301" s="15"/>
      <c r="F301" s="1"/>
      <c r="G301" s="32"/>
      <c r="H301" s="1"/>
      <c r="I301" s="1"/>
    </row>
    <row r="302" spans="1:9" x14ac:dyDescent="0.35">
      <c r="A302" s="1"/>
      <c r="B302" s="1"/>
      <c r="C302" s="24"/>
      <c r="D302" s="1"/>
      <c r="E302" s="15"/>
      <c r="F302" s="1"/>
      <c r="G302" s="32"/>
      <c r="H302" s="1"/>
      <c r="I302" s="1"/>
    </row>
    <row r="303" spans="1:9" x14ac:dyDescent="0.35">
      <c r="A303" s="1"/>
      <c r="B303" s="1"/>
      <c r="C303" s="24"/>
      <c r="D303" s="1"/>
      <c r="E303" s="15"/>
      <c r="F303" s="1"/>
      <c r="G303" s="32"/>
      <c r="H303" s="1"/>
      <c r="I303" s="1"/>
    </row>
    <row r="304" spans="1:9" x14ac:dyDescent="0.35">
      <c r="A304" s="1"/>
      <c r="B304" s="1"/>
      <c r="C304" s="24"/>
      <c r="D304" s="1"/>
      <c r="E304" s="15"/>
      <c r="F304" s="1"/>
      <c r="G304" s="32"/>
      <c r="H304" s="1"/>
      <c r="I304" s="1"/>
    </row>
    <row r="305" spans="1:9" x14ac:dyDescent="0.35">
      <c r="A305" s="1"/>
      <c r="B305" s="1"/>
      <c r="C305" s="24"/>
      <c r="D305" s="1"/>
      <c r="E305" s="15"/>
      <c r="F305" s="1"/>
      <c r="G305" s="32"/>
      <c r="H305" s="1"/>
      <c r="I305" s="1"/>
    </row>
    <row r="306" spans="1:9" x14ac:dyDescent="0.35">
      <c r="A306" s="1"/>
      <c r="B306" s="1"/>
      <c r="C306" s="24"/>
      <c r="D306" s="1"/>
      <c r="E306" s="15"/>
      <c r="F306" s="1"/>
      <c r="G306" s="32"/>
      <c r="H306" s="1"/>
      <c r="I306" s="1"/>
    </row>
    <row r="307" spans="1:9" x14ac:dyDescent="0.35">
      <c r="A307" s="1"/>
      <c r="B307" s="1"/>
      <c r="C307" s="24"/>
      <c r="D307" s="1"/>
      <c r="E307" s="15"/>
      <c r="F307" s="1"/>
      <c r="G307" s="32"/>
      <c r="H307" s="1"/>
      <c r="I307" s="1"/>
    </row>
    <row r="308" spans="1:9" x14ac:dyDescent="0.35">
      <c r="A308" s="1"/>
      <c r="B308" s="1"/>
      <c r="C308" s="24"/>
      <c r="D308" s="1"/>
      <c r="E308" s="15"/>
      <c r="F308" s="1"/>
      <c r="G308" s="32"/>
      <c r="H308" s="1"/>
      <c r="I308" s="1"/>
    </row>
    <row r="309" spans="1:9" x14ac:dyDescent="0.35">
      <c r="A309" s="1"/>
      <c r="B309" s="1"/>
      <c r="C309" s="24"/>
      <c r="D309" s="1"/>
      <c r="E309" s="15"/>
      <c r="F309" s="1"/>
      <c r="G309" s="32"/>
      <c r="H309" s="1"/>
      <c r="I309" s="1"/>
    </row>
    <row r="310" spans="1:9" x14ac:dyDescent="0.35">
      <c r="A310" s="1"/>
      <c r="B310" s="1"/>
      <c r="C310" s="24"/>
      <c r="D310" s="1"/>
      <c r="E310" s="15"/>
      <c r="F310" s="1"/>
      <c r="G310" s="32"/>
      <c r="H310" s="1"/>
      <c r="I310" s="1"/>
    </row>
    <row r="311" spans="1:9" x14ac:dyDescent="0.35">
      <c r="A311" s="1"/>
      <c r="B311" s="1"/>
      <c r="C311" s="24"/>
      <c r="D311" s="1"/>
      <c r="E311" s="15"/>
      <c r="F311" s="1"/>
      <c r="G311" s="32"/>
      <c r="H311" s="1"/>
      <c r="I311" s="1"/>
    </row>
    <row r="312" spans="1:9" x14ac:dyDescent="0.35">
      <c r="A312" s="1"/>
      <c r="B312" s="1"/>
      <c r="C312" s="24"/>
      <c r="D312" s="1"/>
      <c r="E312" s="15"/>
      <c r="F312" s="1"/>
      <c r="G312" s="32"/>
      <c r="H312" s="1"/>
      <c r="I312" s="1"/>
    </row>
    <row r="313" spans="1:9" x14ac:dyDescent="0.35">
      <c r="A313" s="1"/>
      <c r="B313" s="1"/>
      <c r="C313" s="24"/>
      <c r="D313" s="1"/>
      <c r="E313" s="15"/>
      <c r="F313" s="1"/>
      <c r="G313" s="32"/>
      <c r="H313" s="1"/>
      <c r="I313" s="1"/>
    </row>
    <row r="314" spans="1:9" x14ac:dyDescent="0.35">
      <c r="A314" s="1"/>
      <c r="B314" s="1"/>
      <c r="C314" s="24"/>
      <c r="D314" s="1"/>
      <c r="E314" s="15"/>
      <c r="F314" s="1"/>
      <c r="G314" s="32"/>
      <c r="H314" s="1"/>
      <c r="I314" s="1"/>
    </row>
    <row r="315" spans="1:9" x14ac:dyDescent="0.35">
      <c r="A315" s="1"/>
      <c r="B315" s="1"/>
      <c r="C315" s="24"/>
      <c r="D315" s="1"/>
      <c r="E315" s="15"/>
      <c r="F315" s="1"/>
      <c r="G315" s="32"/>
      <c r="H315" s="1"/>
      <c r="I315" s="1"/>
    </row>
    <row r="316" spans="1:9" x14ac:dyDescent="0.35">
      <c r="A316" s="1"/>
      <c r="B316" s="1"/>
      <c r="C316" s="24"/>
      <c r="D316" s="1"/>
      <c r="E316" s="15"/>
      <c r="F316" s="1"/>
      <c r="G316" s="32"/>
      <c r="H316" s="1"/>
      <c r="I316" s="1"/>
    </row>
    <row r="317" spans="1:9" x14ac:dyDescent="0.35">
      <c r="A317" s="1"/>
      <c r="B317" s="1"/>
      <c r="C317" s="24"/>
      <c r="D317" s="1"/>
      <c r="E317" s="15"/>
      <c r="F317" s="1"/>
      <c r="G317" s="32"/>
      <c r="H317" s="1"/>
      <c r="I317" s="1"/>
    </row>
    <row r="318" spans="1:9" x14ac:dyDescent="0.35">
      <c r="A318" s="1"/>
      <c r="B318" s="1"/>
      <c r="C318" s="24"/>
      <c r="D318" s="1"/>
      <c r="E318" s="15"/>
      <c r="F318" s="1"/>
      <c r="G318" s="32"/>
      <c r="H318" s="1"/>
      <c r="I318" s="1"/>
    </row>
    <row r="319" spans="1:9" x14ac:dyDescent="0.35">
      <c r="A319" s="1"/>
      <c r="B319" s="1"/>
      <c r="C319" s="24"/>
      <c r="D319" s="1"/>
      <c r="E319" s="15"/>
      <c r="F319" s="1"/>
      <c r="G319" s="32"/>
      <c r="H319" s="1"/>
      <c r="I319" s="1"/>
    </row>
    <row r="320" spans="1:9" x14ac:dyDescent="0.35">
      <c r="A320" s="1"/>
      <c r="B320" s="1"/>
      <c r="C320" s="24"/>
      <c r="D320" s="1"/>
      <c r="E320" s="15"/>
      <c r="F320" s="1"/>
      <c r="G320" s="32"/>
      <c r="H320" s="1"/>
      <c r="I320" s="1"/>
    </row>
    <row r="321" spans="1:9" x14ac:dyDescent="0.35">
      <c r="A321" s="1"/>
      <c r="B321" s="1"/>
      <c r="C321" s="24"/>
      <c r="D321" s="1"/>
      <c r="E321" s="15"/>
      <c r="F321" s="1"/>
      <c r="G321" s="32"/>
      <c r="H321" s="1"/>
      <c r="I321" s="1"/>
    </row>
    <row r="322" spans="1:9" x14ac:dyDescent="0.35">
      <c r="A322" s="1"/>
      <c r="B322" s="1"/>
      <c r="C322" s="24"/>
      <c r="D322" s="1"/>
      <c r="E322" s="15"/>
      <c r="F322" s="1"/>
      <c r="G322" s="32"/>
      <c r="H322" s="1"/>
      <c r="I322" s="1"/>
    </row>
    <row r="323" spans="1:9" x14ac:dyDescent="0.35">
      <c r="A323" s="1"/>
      <c r="B323" s="1"/>
      <c r="C323" s="24"/>
      <c r="D323" s="1"/>
      <c r="E323" s="15"/>
      <c r="F323" s="1"/>
      <c r="G323" s="32"/>
      <c r="H323" s="1"/>
      <c r="I323" s="1"/>
    </row>
    <row r="324" spans="1:9" x14ac:dyDescent="0.35">
      <c r="A324" s="1"/>
      <c r="B324" s="1"/>
      <c r="C324" s="24"/>
      <c r="D324" s="1"/>
      <c r="E324" s="15"/>
      <c r="F324" s="1"/>
      <c r="G324" s="32"/>
      <c r="H324" s="1"/>
      <c r="I324" s="1"/>
    </row>
    <row r="325" spans="1:9" x14ac:dyDescent="0.35">
      <c r="A325" s="1"/>
      <c r="B325" s="1"/>
      <c r="C325" s="24"/>
      <c r="D325" s="1"/>
      <c r="E325" s="15"/>
      <c r="F325" s="1"/>
      <c r="G325" s="32"/>
      <c r="H325" s="1"/>
      <c r="I325" s="1"/>
    </row>
    <row r="326" spans="1:9" x14ac:dyDescent="0.35">
      <c r="A326" s="1"/>
      <c r="B326" s="1"/>
      <c r="C326" s="24"/>
      <c r="D326" s="1"/>
      <c r="E326" s="15"/>
      <c r="F326" s="1"/>
      <c r="G326" s="32"/>
      <c r="H326" s="1"/>
      <c r="I326" s="1"/>
    </row>
    <row r="327" spans="1:9" x14ac:dyDescent="0.35">
      <c r="A327" s="1"/>
      <c r="B327" s="1"/>
      <c r="C327" s="24"/>
      <c r="D327" s="1"/>
      <c r="E327" s="15"/>
      <c r="F327" s="1"/>
      <c r="G327" s="32"/>
      <c r="H327" s="1"/>
      <c r="I327" s="1"/>
    </row>
    <row r="328" spans="1:9" x14ac:dyDescent="0.35">
      <c r="A328" s="1"/>
      <c r="B328" s="1"/>
      <c r="C328" s="24"/>
      <c r="D328" s="1"/>
      <c r="E328" s="15"/>
      <c r="F328" s="1"/>
      <c r="G328" s="32"/>
      <c r="H328" s="1"/>
      <c r="I328" s="1"/>
    </row>
    <row r="329" spans="1:9" x14ac:dyDescent="0.35">
      <c r="A329" s="1"/>
      <c r="B329" s="1"/>
      <c r="C329" s="24"/>
      <c r="D329" s="1"/>
      <c r="E329" s="15"/>
      <c r="F329" s="1"/>
      <c r="G329" s="32"/>
      <c r="H329" s="1"/>
      <c r="I329" s="1"/>
    </row>
    <row r="330" spans="1:9" x14ac:dyDescent="0.35">
      <c r="A330" s="1"/>
      <c r="B330" s="1"/>
      <c r="C330" s="24"/>
      <c r="D330" s="1"/>
      <c r="E330" s="15"/>
      <c r="F330" s="1"/>
      <c r="G330" s="32"/>
      <c r="H330" s="1"/>
      <c r="I330" s="1"/>
    </row>
    <row r="331" spans="1:9" x14ac:dyDescent="0.35">
      <c r="A331" s="1"/>
      <c r="B331" s="1"/>
      <c r="C331" s="24"/>
      <c r="D331" s="1"/>
      <c r="E331" s="15"/>
      <c r="F331" s="1"/>
      <c r="G331" s="32"/>
      <c r="H331" s="1"/>
      <c r="I331" s="1"/>
    </row>
    <row r="332" spans="1:9" x14ac:dyDescent="0.35">
      <c r="A332" s="1"/>
      <c r="B332" s="1"/>
      <c r="C332" s="24"/>
      <c r="D332" s="1"/>
      <c r="E332" s="15"/>
      <c r="F332" s="1"/>
      <c r="G332" s="32"/>
      <c r="H332" s="1"/>
      <c r="I332" s="1"/>
    </row>
    <row r="333" spans="1:9" x14ac:dyDescent="0.35">
      <c r="A333" s="1"/>
      <c r="B333" s="1"/>
      <c r="C333" s="24"/>
      <c r="D333" s="1"/>
      <c r="E333" s="15"/>
      <c r="F333" s="1"/>
      <c r="G333" s="32"/>
      <c r="H333" s="1"/>
      <c r="I333" s="1"/>
    </row>
    <row r="334" spans="1:9" x14ac:dyDescent="0.35">
      <c r="A334" s="1"/>
      <c r="B334" s="1"/>
      <c r="C334" s="24"/>
      <c r="D334" s="1"/>
      <c r="E334" s="15"/>
      <c r="F334" s="1"/>
      <c r="G334" s="32"/>
      <c r="H334" s="1"/>
      <c r="I334" s="1"/>
    </row>
    <row r="335" spans="1:9" x14ac:dyDescent="0.35">
      <c r="A335" s="1"/>
      <c r="B335" s="1"/>
      <c r="C335" s="24"/>
      <c r="D335" s="1"/>
      <c r="E335" s="15"/>
      <c r="F335" s="1"/>
      <c r="G335" s="32"/>
      <c r="H335" s="1"/>
      <c r="I335" s="1"/>
    </row>
    <row r="336" spans="1:9" x14ac:dyDescent="0.35">
      <c r="A336" s="1"/>
      <c r="B336" s="1"/>
      <c r="C336" s="24"/>
      <c r="D336" s="1"/>
      <c r="E336" s="15"/>
      <c r="F336" s="1"/>
      <c r="G336" s="32"/>
      <c r="H336" s="1"/>
      <c r="I336" s="1"/>
    </row>
    <row r="337" spans="1:9" x14ac:dyDescent="0.35">
      <c r="A337" s="1"/>
      <c r="B337" s="1"/>
      <c r="C337" s="24"/>
      <c r="D337" s="1"/>
      <c r="E337" s="15"/>
      <c r="F337" s="1"/>
      <c r="G337" s="32"/>
      <c r="H337" s="1"/>
      <c r="I337" s="1"/>
    </row>
    <row r="338" spans="1:9" x14ac:dyDescent="0.35">
      <c r="A338" s="1"/>
      <c r="B338" s="1"/>
      <c r="C338" s="24"/>
      <c r="D338" s="1"/>
      <c r="E338" s="15"/>
      <c r="F338" s="1"/>
      <c r="G338" s="32"/>
      <c r="H338" s="1"/>
      <c r="I338" s="1"/>
    </row>
    <row r="339" spans="1:9" x14ac:dyDescent="0.35">
      <c r="A339" s="1"/>
      <c r="B339" s="1"/>
      <c r="C339" s="24"/>
      <c r="D339" s="1"/>
      <c r="E339" s="15"/>
      <c r="F339" s="1"/>
      <c r="G339" s="32"/>
      <c r="H339" s="1"/>
      <c r="I339" s="1"/>
    </row>
    <row r="340" spans="1:9" x14ac:dyDescent="0.35">
      <c r="A340" s="1"/>
      <c r="B340" s="1"/>
      <c r="C340" s="24"/>
      <c r="D340" s="1"/>
      <c r="E340" s="15"/>
      <c r="F340" s="1"/>
      <c r="G340" s="32"/>
      <c r="H340" s="1"/>
      <c r="I340" s="1"/>
    </row>
    <row r="341" spans="1:9" x14ac:dyDescent="0.35">
      <c r="A341" s="1"/>
      <c r="B341" s="1"/>
      <c r="C341" s="24"/>
      <c r="D341" s="1"/>
      <c r="E341" s="15"/>
      <c r="F341" s="1"/>
      <c r="G341" s="32"/>
      <c r="H341" s="1"/>
      <c r="I341" s="1"/>
    </row>
    <row r="342" spans="1:9" x14ac:dyDescent="0.35">
      <c r="A342" s="1"/>
      <c r="B342" s="1"/>
      <c r="C342" s="24"/>
      <c r="D342" s="1"/>
      <c r="E342" s="15"/>
      <c r="F342" s="1"/>
      <c r="G342" s="32"/>
      <c r="H342" s="1"/>
      <c r="I342" s="1"/>
    </row>
    <row r="343" spans="1:9" x14ac:dyDescent="0.35">
      <c r="A343" s="1"/>
      <c r="B343" s="1"/>
      <c r="C343" s="24"/>
      <c r="D343" s="1"/>
      <c r="E343" s="15"/>
      <c r="F343" s="1"/>
      <c r="G343" s="32"/>
      <c r="H343" s="1"/>
      <c r="I343" s="1"/>
    </row>
    <row r="344" spans="1:9" x14ac:dyDescent="0.35">
      <c r="A344" s="1"/>
      <c r="B344" s="1"/>
      <c r="C344" s="24"/>
      <c r="D344" s="1"/>
      <c r="E344" s="15"/>
      <c r="F344" s="1"/>
      <c r="G344" s="32"/>
      <c r="H344" s="1"/>
      <c r="I344" s="1"/>
    </row>
    <row r="345" spans="1:9" x14ac:dyDescent="0.35">
      <c r="A345" s="1"/>
      <c r="B345" s="1"/>
      <c r="C345" s="24"/>
      <c r="D345" s="1"/>
      <c r="E345" s="15"/>
      <c r="F345" s="1"/>
      <c r="G345" s="32"/>
      <c r="H345" s="1"/>
      <c r="I345" s="1"/>
    </row>
    <row r="346" spans="1:9" x14ac:dyDescent="0.35">
      <c r="A346" s="1"/>
      <c r="B346" s="1"/>
      <c r="C346" s="24"/>
      <c r="D346" s="1"/>
      <c r="E346" s="15"/>
      <c r="F346" s="1"/>
      <c r="G346" s="32"/>
      <c r="H346" s="1"/>
      <c r="I346" s="1"/>
    </row>
    <row r="347" spans="1:9" x14ac:dyDescent="0.35">
      <c r="A347" s="1"/>
      <c r="B347" s="1"/>
      <c r="C347" s="24"/>
      <c r="D347" s="1"/>
      <c r="E347" s="15"/>
      <c r="F347" s="1"/>
      <c r="G347" s="32"/>
      <c r="H347" s="1"/>
      <c r="I347" s="1"/>
    </row>
    <row r="348" spans="1:9" x14ac:dyDescent="0.35">
      <c r="A348" s="1"/>
      <c r="B348" s="1"/>
      <c r="C348" s="24"/>
      <c r="D348" s="1"/>
      <c r="E348" s="15"/>
      <c r="F348" s="1"/>
      <c r="G348" s="32"/>
      <c r="H348" s="1"/>
      <c r="I348" s="1"/>
    </row>
    <row r="349" spans="1:9" x14ac:dyDescent="0.35">
      <c r="A349" s="1"/>
      <c r="B349" s="1"/>
      <c r="C349" s="24"/>
      <c r="D349" s="1"/>
      <c r="E349" s="15"/>
      <c r="F349" s="1"/>
      <c r="G349" s="32"/>
      <c r="H349" s="1"/>
      <c r="I349" s="1"/>
    </row>
    <row r="350" spans="1:9" x14ac:dyDescent="0.35">
      <c r="A350" s="1"/>
      <c r="B350" s="1"/>
      <c r="C350" s="24"/>
      <c r="D350" s="1"/>
      <c r="E350" s="15"/>
      <c r="F350" s="1"/>
      <c r="G350" s="32"/>
      <c r="H350" s="1"/>
      <c r="I350" s="1"/>
    </row>
    <row r="351" spans="1:9" x14ac:dyDescent="0.35">
      <c r="A351" s="1"/>
      <c r="B351" s="1"/>
      <c r="C351" s="24"/>
      <c r="D351" s="1"/>
      <c r="E351" s="15"/>
      <c r="F351" s="1"/>
      <c r="G351" s="32"/>
      <c r="H351" s="1"/>
      <c r="I351" s="1"/>
    </row>
    <row r="352" spans="1:9" x14ac:dyDescent="0.35">
      <c r="A352" s="1"/>
      <c r="B352" s="1"/>
      <c r="C352" s="24"/>
      <c r="D352" s="1"/>
      <c r="E352" s="15"/>
      <c r="F352" s="1"/>
      <c r="G352" s="32"/>
      <c r="H352" s="1"/>
      <c r="I352" s="1"/>
    </row>
    <row r="353" spans="1:9" x14ac:dyDescent="0.35">
      <c r="A353" s="1"/>
      <c r="B353" s="1"/>
      <c r="C353" s="24"/>
      <c r="D353" s="1"/>
      <c r="E353" s="15"/>
      <c r="F353" s="1"/>
      <c r="G353" s="32"/>
      <c r="H353" s="1"/>
      <c r="I353" s="1"/>
    </row>
    <row r="354" spans="1:9" x14ac:dyDescent="0.35">
      <c r="A354" s="1"/>
      <c r="B354" s="1"/>
      <c r="C354" s="24"/>
      <c r="D354" s="1"/>
      <c r="E354" s="15"/>
      <c r="F354" s="1"/>
      <c r="G354" s="32"/>
      <c r="H354" s="1"/>
      <c r="I354" s="1"/>
    </row>
    <row r="355" spans="1:9" x14ac:dyDescent="0.35">
      <c r="A355" s="1"/>
      <c r="B355" s="1"/>
      <c r="C355" s="24"/>
      <c r="D355" s="1"/>
      <c r="E355" s="15"/>
      <c r="F355" s="1"/>
      <c r="G355" s="32"/>
      <c r="H355" s="1"/>
      <c r="I355" s="1"/>
    </row>
    <row r="356" spans="1:9" x14ac:dyDescent="0.35">
      <c r="A356" s="1"/>
      <c r="B356" s="1"/>
      <c r="C356" s="24"/>
      <c r="D356" s="1"/>
      <c r="E356" s="15"/>
      <c r="F356" s="1"/>
      <c r="G356" s="32"/>
      <c r="H356" s="1"/>
      <c r="I356" s="1"/>
    </row>
    <row r="357" spans="1:9" x14ac:dyDescent="0.35">
      <c r="A357" s="1"/>
      <c r="B357" s="1"/>
      <c r="C357" s="24"/>
      <c r="D357" s="1"/>
      <c r="E357" s="15"/>
      <c r="F357" s="1"/>
      <c r="G357" s="32"/>
      <c r="H357" s="1"/>
      <c r="I357" s="1"/>
    </row>
    <row r="358" spans="1:9" x14ac:dyDescent="0.35">
      <c r="A358" s="1"/>
      <c r="B358" s="1"/>
      <c r="C358" s="24"/>
      <c r="D358" s="1"/>
      <c r="E358" s="15"/>
      <c r="F358" s="1"/>
      <c r="G358" s="32"/>
      <c r="H358" s="1"/>
      <c r="I358" s="1"/>
    </row>
    <row r="359" spans="1:9" x14ac:dyDescent="0.35">
      <c r="A359" s="1"/>
      <c r="B359" s="1"/>
      <c r="C359" s="24"/>
      <c r="D359" s="1"/>
      <c r="E359" s="15"/>
      <c r="F359" s="1"/>
      <c r="G359" s="32"/>
      <c r="H359" s="1"/>
      <c r="I359" s="1"/>
    </row>
    <row r="360" spans="1:9" x14ac:dyDescent="0.35">
      <c r="A360" s="1"/>
      <c r="B360" s="1"/>
      <c r="C360" s="24"/>
      <c r="D360" s="1"/>
      <c r="E360" s="15"/>
      <c r="F360" s="1"/>
      <c r="G360" s="32"/>
      <c r="H360" s="1"/>
      <c r="I360" s="1"/>
    </row>
    <row r="361" spans="1:9" x14ac:dyDescent="0.35">
      <c r="A361" s="1"/>
      <c r="B361" s="1"/>
      <c r="C361" s="24"/>
      <c r="D361" s="1"/>
      <c r="E361" s="15"/>
      <c r="F361" s="1"/>
      <c r="G361" s="32"/>
      <c r="H361" s="1"/>
      <c r="I361" s="1"/>
    </row>
    <row r="362" spans="1:9" x14ac:dyDescent="0.35">
      <c r="A362" s="1"/>
      <c r="B362" s="1"/>
      <c r="C362" s="24"/>
      <c r="D362" s="1"/>
      <c r="E362" s="15"/>
      <c r="F362" s="1"/>
      <c r="G362" s="32"/>
      <c r="H362" s="1"/>
      <c r="I362" s="1"/>
    </row>
    <row r="363" spans="1:9" x14ac:dyDescent="0.35">
      <c r="A363" s="1"/>
      <c r="B363" s="1"/>
      <c r="C363" s="24"/>
      <c r="D363" s="1"/>
      <c r="E363" s="15"/>
      <c r="F363" s="1"/>
      <c r="G363" s="32"/>
      <c r="H363" s="1"/>
      <c r="I363" s="1"/>
    </row>
    <row r="364" spans="1:9" x14ac:dyDescent="0.35">
      <c r="A364" s="1"/>
      <c r="B364" s="1"/>
      <c r="C364" s="24"/>
      <c r="D364" s="1"/>
      <c r="E364" s="15"/>
      <c r="F364" s="1"/>
      <c r="G364" s="32"/>
      <c r="H364" s="1"/>
      <c r="I364" s="1"/>
    </row>
    <row r="365" spans="1:9" x14ac:dyDescent="0.35">
      <c r="A365" s="1"/>
      <c r="B365" s="1"/>
      <c r="C365" s="24"/>
      <c r="D365" s="1"/>
      <c r="E365" s="15"/>
      <c r="F365" s="1"/>
      <c r="G365" s="32"/>
      <c r="H365" s="1"/>
      <c r="I365" s="1"/>
    </row>
    <row r="366" spans="1:9" x14ac:dyDescent="0.35">
      <c r="A366" s="1"/>
      <c r="B366" s="1"/>
      <c r="C366" s="24"/>
      <c r="D366" s="1"/>
      <c r="E366" s="15"/>
      <c r="F366" s="1"/>
      <c r="G366" s="32"/>
      <c r="H366" s="1"/>
      <c r="I366" s="1"/>
    </row>
    <row r="367" spans="1:9" x14ac:dyDescent="0.35">
      <c r="A367" s="1"/>
      <c r="B367" s="1"/>
      <c r="C367" s="24"/>
      <c r="D367" s="1"/>
      <c r="E367" s="15"/>
      <c r="F367" s="1"/>
      <c r="G367" s="32"/>
      <c r="H367" s="1"/>
      <c r="I367" s="1"/>
    </row>
    <row r="368" spans="1:9" x14ac:dyDescent="0.35">
      <c r="A368" s="1"/>
      <c r="B368" s="1"/>
      <c r="C368" s="24"/>
      <c r="D368" s="1"/>
      <c r="E368" s="15"/>
      <c r="F368" s="1"/>
      <c r="G368" s="32"/>
      <c r="H368" s="1"/>
      <c r="I368" s="1"/>
    </row>
    <row r="369" spans="1:9" x14ac:dyDescent="0.35">
      <c r="A369" s="1"/>
      <c r="B369" s="1"/>
      <c r="C369" s="24"/>
      <c r="D369" s="1"/>
      <c r="E369" s="15"/>
      <c r="F369" s="1"/>
      <c r="G369" s="32"/>
      <c r="H369" s="1"/>
      <c r="I369" s="1"/>
    </row>
    <row r="370" spans="1:9" x14ac:dyDescent="0.35">
      <c r="A370" s="1"/>
      <c r="B370" s="1"/>
      <c r="C370" s="24"/>
      <c r="D370" s="1"/>
      <c r="E370" s="15"/>
      <c r="F370" s="1"/>
      <c r="G370" s="32"/>
      <c r="H370" s="1"/>
      <c r="I370" s="1"/>
    </row>
    <row r="371" spans="1:9" x14ac:dyDescent="0.35">
      <c r="A371" s="1"/>
      <c r="B371" s="1"/>
      <c r="C371" s="24"/>
      <c r="D371" s="1"/>
      <c r="E371" s="15"/>
      <c r="F371" s="1"/>
      <c r="G371" s="32"/>
      <c r="H371" s="1"/>
      <c r="I371" s="1"/>
    </row>
    <row r="372" spans="1:9" x14ac:dyDescent="0.35">
      <c r="A372" s="1"/>
      <c r="B372" s="1"/>
      <c r="C372" s="24"/>
      <c r="D372" s="1"/>
      <c r="E372" s="15"/>
      <c r="F372" s="1"/>
      <c r="G372" s="32"/>
      <c r="H372" s="1"/>
      <c r="I372" s="1"/>
    </row>
    <row r="373" spans="1:9" x14ac:dyDescent="0.35">
      <c r="A373" s="1"/>
      <c r="B373" s="1"/>
      <c r="C373" s="24"/>
      <c r="D373" s="1"/>
      <c r="E373" s="15"/>
      <c r="F373" s="1"/>
      <c r="G373" s="32"/>
      <c r="H373" s="1"/>
      <c r="I373" s="1"/>
    </row>
    <row r="374" spans="1:9" x14ac:dyDescent="0.35">
      <c r="A374" s="1"/>
      <c r="B374" s="1"/>
      <c r="C374" s="24"/>
      <c r="D374" s="1"/>
      <c r="E374" s="15"/>
      <c r="F374" s="1"/>
      <c r="G374" s="32"/>
      <c r="H374" s="1"/>
      <c r="I374" s="1"/>
    </row>
    <row r="375" spans="1:9" x14ac:dyDescent="0.35">
      <c r="A375" s="1"/>
      <c r="B375" s="1"/>
      <c r="C375" s="24"/>
      <c r="D375" s="1"/>
      <c r="E375" s="15"/>
      <c r="F375" s="1"/>
      <c r="G375" s="32"/>
      <c r="H375" s="1"/>
      <c r="I375" s="1"/>
    </row>
    <row r="376" spans="1:9" x14ac:dyDescent="0.35">
      <c r="A376" s="1"/>
      <c r="B376" s="1"/>
      <c r="C376" s="24"/>
      <c r="D376" s="1"/>
      <c r="E376" s="15"/>
      <c r="F376" s="1"/>
      <c r="G376" s="32"/>
      <c r="H376" s="1"/>
      <c r="I376" s="1"/>
    </row>
    <row r="377" spans="1:9" x14ac:dyDescent="0.35">
      <c r="A377" s="1"/>
      <c r="B377" s="1"/>
      <c r="C377" s="24"/>
      <c r="D377" s="1"/>
      <c r="E377" s="15"/>
      <c r="F377" s="1"/>
      <c r="G377" s="32"/>
      <c r="H377" s="1"/>
      <c r="I377" s="1"/>
    </row>
    <row r="378" spans="1:9" x14ac:dyDescent="0.35">
      <c r="A378" s="1"/>
      <c r="B378" s="1"/>
      <c r="C378" s="24"/>
      <c r="D378" s="1"/>
      <c r="E378" s="15"/>
      <c r="F378" s="1"/>
      <c r="G378" s="32"/>
      <c r="H378" s="1"/>
      <c r="I378" s="1"/>
    </row>
    <row r="379" spans="1:9" x14ac:dyDescent="0.35">
      <c r="A379" s="1"/>
      <c r="B379" s="1"/>
      <c r="C379" s="24"/>
      <c r="D379" s="1"/>
      <c r="E379" s="15"/>
      <c r="F379" s="1"/>
      <c r="G379" s="32"/>
      <c r="H379" s="1"/>
      <c r="I379" s="1"/>
    </row>
    <row r="380" spans="1:9" x14ac:dyDescent="0.35">
      <c r="A380" s="1"/>
      <c r="B380" s="1"/>
      <c r="C380" s="24"/>
      <c r="D380" s="1"/>
      <c r="E380" s="15"/>
      <c r="F380" s="1"/>
      <c r="G380" s="32"/>
      <c r="H380" s="1"/>
      <c r="I380" s="1"/>
    </row>
    <row r="381" spans="1:9" x14ac:dyDescent="0.35">
      <c r="A381" s="1"/>
      <c r="B381" s="1"/>
      <c r="C381" s="24"/>
      <c r="D381" s="1"/>
      <c r="E381" s="15"/>
      <c r="F381" s="1"/>
      <c r="G381" s="32"/>
      <c r="H381" s="1"/>
      <c r="I381" s="1"/>
    </row>
    <row r="382" spans="1:9" x14ac:dyDescent="0.35">
      <c r="A382" s="1"/>
      <c r="B382" s="1"/>
      <c r="C382" s="24"/>
      <c r="D382" s="1"/>
      <c r="E382" s="15"/>
      <c r="F382" s="1"/>
      <c r="G382" s="32"/>
      <c r="H382" s="1"/>
      <c r="I382" s="1"/>
    </row>
    <row r="383" spans="1:9" x14ac:dyDescent="0.35">
      <c r="A383" s="1"/>
      <c r="B383" s="1"/>
      <c r="C383" s="24"/>
      <c r="D383" s="1"/>
      <c r="E383" s="15"/>
      <c r="F383" s="1"/>
      <c r="G383" s="32"/>
      <c r="H383" s="1"/>
      <c r="I383" s="1"/>
    </row>
    <row r="384" spans="1:9" x14ac:dyDescent="0.35">
      <c r="A384" s="1"/>
      <c r="B384" s="1"/>
      <c r="C384" s="24"/>
      <c r="D384" s="1"/>
      <c r="E384" s="15"/>
      <c r="F384" s="1"/>
      <c r="G384" s="32"/>
      <c r="H384" s="1"/>
      <c r="I384" s="1"/>
    </row>
    <row r="385" spans="1:9" x14ac:dyDescent="0.35">
      <c r="A385" s="1"/>
      <c r="B385" s="1"/>
      <c r="C385" s="24"/>
      <c r="D385" s="1"/>
      <c r="E385" s="15"/>
      <c r="F385" s="1"/>
      <c r="G385" s="32"/>
      <c r="H385" s="1"/>
      <c r="I385" s="1"/>
    </row>
    <row r="386" spans="1:9" x14ac:dyDescent="0.35">
      <c r="A386" s="1"/>
      <c r="B386" s="1"/>
      <c r="C386" s="24"/>
      <c r="D386" s="1"/>
      <c r="E386" s="15"/>
      <c r="F386" s="1"/>
      <c r="G386" s="32"/>
      <c r="H386" s="1"/>
      <c r="I386" s="1"/>
    </row>
    <row r="387" spans="1:9" x14ac:dyDescent="0.35">
      <c r="A387" s="1"/>
      <c r="B387" s="1"/>
      <c r="C387" s="24"/>
      <c r="D387" s="1"/>
      <c r="E387" s="15"/>
      <c r="F387" s="1"/>
      <c r="G387" s="32"/>
      <c r="H387" s="1"/>
      <c r="I387" s="1"/>
    </row>
    <row r="388" spans="1:9" x14ac:dyDescent="0.35">
      <c r="A388" s="1"/>
      <c r="B388" s="1"/>
      <c r="C388" s="24"/>
      <c r="D388" s="1"/>
      <c r="E388" s="15"/>
      <c r="F388" s="1"/>
      <c r="G388" s="32"/>
      <c r="H388" s="1"/>
      <c r="I388" s="1"/>
    </row>
    <row r="389" spans="1:9" x14ac:dyDescent="0.35">
      <c r="A389" s="1"/>
      <c r="B389" s="1"/>
      <c r="C389" s="24"/>
      <c r="D389" s="1"/>
      <c r="E389" s="15"/>
      <c r="F389" s="1"/>
      <c r="G389" s="32"/>
      <c r="H389" s="1"/>
      <c r="I389" s="1"/>
    </row>
    <row r="390" spans="1:9" x14ac:dyDescent="0.35">
      <c r="A390" s="1"/>
      <c r="B390" s="1"/>
      <c r="C390" s="24"/>
      <c r="D390" s="1"/>
      <c r="E390" s="15"/>
      <c r="F390" s="1"/>
      <c r="G390" s="32"/>
      <c r="H390" s="1"/>
      <c r="I390" s="1"/>
    </row>
    <row r="391" spans="1:9" x14ac:dyDescent="0.35">
      <c r="A391" s="1"/>
      <c r="B391" s="1"/>
      <c r="C391" s="24"/>
      <c r="D391" s="1"/>
      <c r="E391" s="15"/>
      <c r="F391" s="1"/>
      <c r="G391" s="32"/>
      <c r="H391" s="1"/>
      <c r="I391" s="1"/>
    </row>
    <row r="392" spans="1:9" x14ac:dyDescent="0.35">
      <c r="A392" s="1"/>
      <c r="B392" s="1"/>
      <c r="C392" s="24"/>
      <c r="D392" s="1"/>
      <c r="E392" s="15"/>
      <c r="F392" s="1"/>
      <c r="G392" s="32"/>
      <c r="H392" s="1"/>
      <c r="I392" s="1"/>
    </row>
    <row r="393" spans="1:9" x14ac:dyDescent="0.35">
      <c r="A393" s="1"/>
      <c r="B393" s="1"/>
      <c r="C393" s="24"/>
      <c r="D393" s="1"/>
      <c r="E393" s="15"/>
      <c r="F393" s="1"/>
      <c r="G393" s="32"/>
      <c r="H393" s="1"/>
      <c r="I393" s="1"/>
    </row>
    <row r="394" spans="1:9" x14ac:dyDescent="0.35">
      <c r="A394" s="1"/>
      <c r="B394" s="1"/>
      <c r="C394" s="24"/>
      <c r="D394" s="1"/>
      <c r="E394" s="15"/>
      <c r="F394" s="1"/>
      <c r="G394" s="32"/>
      <c r="H394" s="1"/>
      <c r="I394" s="1"/>
    </row>
    <row r="395" spans="1:9" x14ac:dyDescent="0.35">
      <c r="A395" s="1"/>
      <c r="B395" s="1"/>
      <c r="C395" s="24"/>
      <c r="D395" s="1"/>
      <c r="E395" s="15"/>
      <c r="F395" s="1"/>
      <c r="G395" s="32"/>
      <c r="H395" s="1"/>
      <c r="I395" s="1"/>
    </row>
  </sheetData>
  <pageMargins left="0.14000000000000001" right="0.2" top="0.75" bottom="0.75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5"/>
  <sheetViews>
    <sheetView zoomScaleNormal="100" workbookViewId="0">
      <selection activeCell="I12" sqref="I12"/>
    </sheetView>
  </sheetViews>
  <sheetFormatPr defaultRowHeight="14.5" x14ac:dyDescent="0.35"/>
  <cols>
    <col min="1" max="10" width="13.81640625" style="1" customWidth="1"/>
    <col min="11" max="12" width="12.54296875" bestFit="1" customWidth="1"/>
  </cols>
  <sheetData>
    <row r="1" spans="1:15" ht="15" thickBot="1" x14ac:dyDescent="0.4">
      <c r="A1" s="5" t="s">
        <v>0</v>
      </c>
      <c r="B1" s="30" t="s">
        <v>8</v>
      </c>
      <c r="C1" s="30" t="s">
        <v>9</v>
      </c>
      <c r="D1" s="30" t="s">
        <v>1</v>
      </c>
      <c r="E1" s="30" t="s">
        <v>2</v>
      </c>
      <c r="F1" s="30" t="s">
        <v>4</v>
      </c>
      <c r="G1" s="30" t="s">
        <v>6</v>
      </c>
      <c r="H1" s="5" t="s">
        <v>13</v>
      </c>
      <c r="I1" s="5" t="s">
        <v>24</v>
      </c>
      <c r="J1" s="5" t="s">
        <v>390</v>
      </c>
      <c r="L1" s="30" t="s">
        <v>2</v>
      </c>
      <c r="N1" t="s">
        <v>9</v>
      </c>
      <c r="O1" t="s">
        <v>9</v>
      </c>
    </row>
    <row r="2" spans="1:15" x14ac:dyDescent="0.35">
      <c r="C2" s="24"/>
      <c r="L2" t="s">
        <v>1627</v>
      </c>
      <c r="N2" t="s">
        <v>519</v>
      </c>
      <c r="O2" t="s">
        <v>520</v>
      </c>
    </row>
    <row r="3" spans="1:15" x14ac:dyDescent="0.35">
      <c r="C3" s="24"/>
    </row>
    <row r="4" spans="1:15" x14ac:dyDescent="0.35">
      <c r="C4" s="24"/>
    </row>
    <row r="5" spans="1:15" x14ac:dyDescent="0.35">
      <c r="C5" s="24"/>
    </row>
  </sheetData>
  <pageMargins left="0.35" right="0.24" top="0.75" bottom="0.75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319CE-DD34-4BB3-9D99-65FC5DA26C9B}">
  <sheetPr codeName="Sheet16">
    <tabColor rgb="FF00FF00"/>
  </sheetPr>
  <dimension ref="A7:J48"/>
  <sheetViews>
    <sheetView view="pageBreakPreview" topLeftCell="A12" zoomScale="120" zoomScaleNormal="115" zoomScaleSheetLayoutView="120" workbookViewId="0">
      <selection activeCell="N23" sqref="N23"/>
    </sheetView>
  </sheetViews>
  <sheetFormatPr defaultColWidth="9.1796875" defaultRowHeight="14.5" x14ac:dyDescent="0.35"/>
  <cols>
    <col min="1" max="1" width="8.1796875" style="15" customWidth="1"/>
    <col min="2" max="2" width="38.81640625" style="15" customWidth="1"/>
    <col min="3" max="3" width="10.81640625" style="15" bestFit="1" customWidth="1"/>
    <col min="4" max="4" width="12.7265625" style="15" customWidth="1"/>
    <col min="5" max="5" width="18.7265625" style="15" customWidth="1"/>
    <col min="6" max="6" width="21.453125" style="15" customWidth="1"/>
    <col min="7" max="7" width="30.7265625" style="1" hidden="1" customWidth="1"/>
    <col min="8" max="8" width="16.1796875" style="1" hidden="1" customWidth="1"/>
    <col min="9" max="9" width="7.1796875" style="1" hidden="1" customWidth="1"/>
    <col min="10" max="10" width="9.1796875" style="15" hidden="1" customWidth="1"/>
    <col min="11" max="16384" width="9.1796875" style="15"/>
  </cols>
  <sheetData>
    <row r="7" spans="1:10" ht="17.5" x14ac:dyDescent="0.35">
      <c r="A7" s="77" t="s">
        <v>29</v>
      </c>
      <c r="B7" s="77"/>
      <c r="C7" s="77"/>
      <c r="D7" s="77"/>
      <c r="E7" s="77"/>
      <c r="F7" s="29"/>
    </row>
    <row r="8" spans="1:10" ht="15" x14ac:dyDescent="0.35">
      <c r="A8" s="16"/>
      <c r="B8" s="16"/>
      <c r="C8" s="16"/>
      <c r="D8" s="16"/>
      <c r="E8" s="16"/>
      <c r="F8" s="16"/>
    </row>
    <row r="9" spans="1:10" ht="15" x14ac:dyDescent="0.35">
      <c r="A9" s="16"/>
      <c r="B9" s="16"/>
      <c r="C9" s="16"/>
      <c r="D9" s="16"/>
      <c r="E9" s="16"/>
      <c r="F9" s="16"/>
    </row>
    <row r="10" spans="1:10" ht="15.5" x14ac:dyDescent="0.35">
      <c r="A10" s="17"/>
      <c r="B10" s="18"/>
      <c r="C10" s="18"/>
      <c r="D10" s="43" t="s">
        <v>33</v>
      </c>
      <c r="E10" s="42">
        <v>45322</v>
      </c>
      <c r="F10" s="41"/>
    </row>
    <row r="11" spans="1:10" ht="15.5" x14ac:dyDescent="0.35">
      <c r="A11" s="18"/>
      <c r="B11" s="18"/>
      <c r="C11" s="18"/>
      <c r="D11" s="18"/>
      <c r="E11" s="18"/>
      <c r="F11" s="18"/>
    </row>
    <row r="12" spans="1:10" ht="15" x14ac:dyDescent="0.35">
      <c r="A12" s="21" t="s">
        <v>44</v>
      </c>
      <c r="B12" s="21" t="str">
        <f>VLOOKUP(F15,BARANGKELUAR!A3:J1048576,10,TRUE)</f>
        <v>DISTRIBUSI</v>
      </c>
      <c r="C12" s="21"/>
      <c r="D12" s="21"/>
      <c r="E12" s="21"/>
      <c r="F12" s="21"/>
    </row>
    <row r="13" spans="1:10" ht="15.5" x14ac:dyDescent="0.35">
      <c r="A13" s="18"/>
      <c r="B13" s="18"/>
      <c r="C13" s="18"/>
      <c r="D13" s="18"/>
      <c r="E13" s="18"/>
      <c r="F13" s="18"/>
    </row>
    <row r="14" spans="1:10" ht="36" customHeight="1" x14ac:dyDescent="0.35">
      <c r="A14" s="38" t="s">
        <v>386</v>
      </c>
      <c r="B14" s="38" t="s">
        <v>2</v>
      </c>
      <c r="C14" s="38" t="s">
        <v>23</v>
      </c>
      <c r="D14" s="38" t="s">
        <v>4</v>
      </c>
      <c r="E14" s="38" t="s">
        <v>761</v>
      </c>
      <c r="F14" s="38" t="s">
        <v>0</v>
      </c>
      <c r="G14" s="39" t="s">
        <v>389</v>
      </c>
      <c r="H14" s="39" t="s">
        <v>23</v>
      </c>
      <c r="I14" s="39" t="s">
        <v>4</v>
      </c>
      <c r="J14" s="38" t="s">
        <v>9</v>
      </c>
    </row>
    <row r="15" spans="1:10" ht="30" customHeight="1" x14ac:dyDescent="0.35">
      <c r="A15" s="26">
        <f>IF(B15&lt;&gt;"",COUNTA($B$15:B15),"")</f>
        <v>1</v>
      </c>
      <c r="B15" s="27" t="str">
        <f>IF(F15&gt;0,G15,"")</f>
        <v>Kenko No.1@10 Paper Clip BM/Lsn</v>
      </c>
      <c r="C15" s="28">
        <f t="shared" ref="C15" si="0">IF(G15&gt;0,H15,"")</f>
        <v>1</v>
      </c>
      <c r="D15" s="28" t="str">
        <f>IF(H15&gt;0,I15,"")</f>
        <v>Pack</v>
      </c>
      <c r="E15" s="36">
        <f>IF(F15&gt;0,J15,"")</f>
        <v>45664</v>
      </c>
      <c r="F15" s="33">
        <v>7</v>
      </c>
      <c r="G15" s="44" t="str">
        <f>VLOOKUP(F15,BARANGKELUAR!A3:I1048576,5,TRUE)</f>
        <v>Kenko No.1@10 Paper Clip BM/Lsn</v>
      </c>
      <c r="H15" s="2">
        <f>VLOOKUP(F15,BARANGKELUAR!A3:I1048576,8,TRUE)</f>
        <v>1</v>
      </c>
      <c r="I15" s="2" t="str">
        <f>VLOOKUP(F15,BARANGKELUAR!A3:I1048576,6,TRUE)</f>
        <v>Pack</v>
      </c>
      <c r="J15" s="40">
        <f>VLOOKUP(F15,BARANGKELUAR!A3:J1048576,3,FALSE)</f>
        <v>45664</v>
      </c>
    </row>
    <row r="16" spans="1:10" ht="30" customHeight="1" x14ac:dyDescent="0.35">
      <c r="A16" s="26" t="str">
        <f>IF(B16&lt;&gt;"",COUNTA($B$15:B16),"")</f>
        <v/>
      </c>
      <c r="B16" s="27" t="str">
        <f>IF(F16&gt;0,G16,"")</f>
        <v/>
      </c>
      <c r="C16" s="25" t="str">
        <f>IF(F16&gt;0,H16,"")</f>
        <v/>
      </c>
      <c r="D16" s="25" t="str">
        <f>IF(F16&gt;0,I16,"")</f>
        <v/>
      </c>
      <c r="E16" s="37" t="str">
        <f>IF(F16&gt;0,J16,"")</f>
        <v/>
      </c>
      <c r="F16" s="33"/>
      <c r="G16" s="44" t="e">
        <f>VLOOKUP(F16,BARANGKELUAR!A3:I1048576,5,TRUE)</f>
        <v>#N/A</v>
      </c>
      <c r="H16" s="2" t="e">
        <f>VLOOKUP(F16,BARANGKELUAR!A3:I1048576,8,TRUE)</f>
        <v>#N/A</v>
      </c>
      <c r="I16" s="2" t="e">
        <f>VLOOKUP(F16,BARANGKELUAR!A3:I1048576,6,TRUE)</f>
        <v>#N/A</v>
      </c>
      <c r="J16" s="40" t="e">
        <f>VLOOKUP(F16,BARANGKELUAR!A3:J1048576,3,FALSE)</f>
        <v>#N/A</v>
      </c>
    </row>
    <row r="17" spans="1:10" ht="30" customHeight="1" x14ac:dyDescent="0.35">
      <c r="A17" s="19" t="str">
        <f>IF(B17&lt;&gt;"",COUNTA($B$15:B17),"")</f>
        <v/>
      </c>
      <c r="B17" s="22" t="str">
        <f>IF(F17&gt;0,G17,"")</f>
        <v/>
      </c>
      <c r="C17" s="25" t="str">
        <f>IF(F17&gt;0,H17,"")</f>
        <v/>
      </c>
      <c r="D17" s="25" t="str">
        <f>IF(F17&gt;0,I17,"")</f>
        <v/>
      </c>
      <c r="E17" s="37" t="str">
        <f t="shared" ref="E17:E20" si="1">IF(F17&gt;0,J17,"")</f>
        <v/>
      </c>
      <c r="F17" s="33"/>
      <c r="G17" s="44" t="e">
        <f>VLOOKUP(F17,BARANGKELUAR!A3:I1048576,5,TRUE)</f>
        <v>#N/A</v>
      </c>
      <c r="H17" s="2" t="e">
        <f>VLOOKUP(F17,BARANGKELUAR!A3:I1048576,8,TRUE)</f>
        <v>#N/A</v>
      </c>
      <c r="I17" s="2" t="e">
        <f>VLOOKUP(F17,BARANGKELUAR!A3:I1048576,6,TRUE)</f>
        <v>#N/A</v>
      </c>
      <c r="J17" s="40" t="e">
        <f>VLOOKUP(F17,BARANGKELUAR!A3:J1048576,3,FALSE)</f>
        <v>#N/A</v>
      </c>
    </row>
    <row r="18" spans="1:10" ht="30" customHeight="1" x14ac:dyDescent="0.35">
      <c r="A18" s="19" t="str">
        <f>IF(B18&lt;&gt;"",COUNTA($B$15:B18),"")</f>
        <v/>
      </c>
      <c r="B18" s="22" t="str">
        <f t="shared" ref="B18:B20" si="2">IF(F18&gt;0,G18,"")</f>
        <v/>
      </c>
      <c r="C18" s="25" t="str">
        <f t="shared" ref="C18:C20" si="3">IF(F18&gt;0,H18,"")</f>
        <v/>
      </c>
      <c r="D18" s="25" t="str">
        <f t="shared" ref="D18:D20" si="4">IF(F18&gt;0,I18,"")</f>
        <v/>
      </c>
      <c r="E18" s="37" t="str">
        <f t="shared" si="1"/>
        <v/>
      </c>
      <c r="F18" s="33"/>
      <c r="G18" s="44" t="e">
        <f>VLOOKUP(F18,BARANGKELUAR!A3:I1048576,5,TRUE)</f>
        <v>#N/A</v>
      </c>
      <c r="H18" s="2" t="e">
        <f>VLOOKUP(F18,BARANGKELUAR!A3:I1048576,8,TRUE)</f>
        <v>#N/A</v>
      </c>
      <c r="I18" s="2" t="e">
        <f>VLOOKUP(F18,BARANGKELUAR!A3:I1048576,6,TRUE)</f>
        <v>#N/A</v>
      </c>
      <c r="J18" s="40" t="e">
        <f>VLOOKUP(F18,BARANGKELUAR!A3:J1048576,3,FALSE)</f>
        <v>#N/A</v>
      </c>
    </row>
    <row r="19" spans="1:10" ht="30" customHeight="1" x14ac:dyDescent="0.35">
      <c r="A19" s="19" t="str">
        <f>IF(B19&lt;&gt;"",COUNTA($B$15:B19),"")</f>
        <v/>
      </c>
      <c r="B19" s="22" t="str">
        <f t="shared" si="2"/>
        <v/>
      </c>
      <c r="C19" s="25" t="str">
        <f t="shared" si="3"/>
        <v/>
      </c>
      <c r="D19" s="25" t="str">
        <f t="shared" si="4"/>
        <v/>
      </c>
      <c r="E19" s="37" t="str">
        <f t="shared" si="1"/>
        <v/>
      </c>
      <c r="F19" s="33"/>
      <c r="G19" s="44" t="e">
        <f>VLOOKUP(F19,BARANGKELUAR!A3:I1048576,5,TRUE)</f>
        <v>#N/A</v>
      </c>
      <c r="H19" s="2" t="e">
        <f>VLOOKUP(F19,BARANGKELUAR!A3:I1048576,8,TRUE)</f>
        <v>#N/A</v>
      </c>
      <c r="I19" s="2" t="e">
        <f>VLOOKUP(F19,BARANGKELUAR!A3:I1048576,6,TRUE)</f>
        <v>#N/A</v>
      </c>
      <c r="J19" s="40" t="e">
        <f>VLOOKUP(F19,BARANGKELUAR!A3:J1048576,3,FALSE)</f>
        <v>#N/A</v>
      </c>
    </row>
    <row r="20" spans="1:10" ht="30" customHeight="1" x14ac:dyDescent="0.35">
      <c r="A20" s="19" t="str">
        <f>IF(B20&lt;&gt;"",COUNTA($B$15:B20),"")</f>
        <v/>
      </c>
      <c r="B20" s="22" t="str">
        <f t="shared" si="2"/>
        <v/>
      </c>
      <c r="C20" s="25" t="str">
        <f t="shared" si="3"/>
        <v/>
      </c>
      <c r="D20" s="25" t="str">
        <f t="shared" si="4"/>
        <v/>
      </c>
      <c r="E20" s="37" t="str">
        <f t="shared" si="1"/>
        <v/>
      </c>
      <c r="F20" s="33"/>
      <c r="G20" s="44" t="e">
        <f>VLOOKUP(F20,BARANGKELUAR!A3:I1048576,5,TRUE)</f>
        <v>#N/A</v>
      </c>
      <c r="H20" s="2" t="e">
        <f>VLOOKUP(F20,BARANGKELUAR!A3:I1048576,8,TRUE)</f>
        <v>#N/A</v>
      </c>
      <c r="I20" s="2" t="e">
        <f>VLOOKUP(F20,BARANGKELUAR!A3:I1048576,6,TRUE)</f>
        <v>#N/A</v>
      </c>
      <c r="J20" s="40" t="e">
        <f>VLOOKUP(F20,BARANGKELUAR!A3:J1048576,3,FALSE)</f>
        <v>#N/A</v>
      </c>
    </row>
    <row r="21" spans="1:10" ht="24.75" customHeight="1" x14ac:dyDescent="0.35">
      <c r="A21" s="19" t="str">
        <f>IF(B21&lt;&gt;"",COUNTA($B$15:B21),"")</f>
        <v/>
      </c>
      <c r="B21" s="22" t="str">
        <f t="shared" ref="B21:B39" si="5">IF(F21&gt;0,G21,"")</f>
        <v/>
      </c>
      <c r="C21" s="25" t="str">
        <f t="shared" ref="C21:C39" si="6">IF(F21&gt;0,H21,"")</f>
        <v/>
      </c>
      <c r="D21" s="25" t="str">
        <f t="shared" ref="D21:D39" si="7">IF(F21&gt;0,I21,"")</f>
        <v/>
      </c>
      <c r="E21" s="37" t="str">
        <f t="shared" ref="E21:E39" si="8">IF(F21&gt;0,J21,"")</f>
        <v/>
      </c>
      <c r="F21" s="33"/>
      <c r="G21" s="44" t="e">
        <f>VLOOKUP(F21,BARANGKELUAR!A3:I1048576,5,TRUE)</f>
        <v>#N/A</v>
      </c>
      <c r="H21" s="2" t="e">
        <f>VLOOKUP(F21,BARANGKELUAR!A3:I1048576,8,TRUE)</f>
        <v>#N/A</v>
      </c>
      <c r="I21" s="2" t="e">
        <f>VLOOKUP(F21,BARANGKELUAR!A3:I1048576,6,TRUE)</f>
        <v>#N/A</v>
      </c>
      <c r="J21" s="40" t="e">
        <f>VLOOKUP(F21,BARANGKELUAR!A3:J1048576,3,FALSE)</f>
        <v>#N/A</v>
      </c>
    </row>
    <row r="22" spans="1:10" ht="24.75" customHeight="1" x14ac:dyDescent="0.35">
      <c r="A22" s="19" t="str">
        <f>IF(B22&lt;&gt;"",COUNTA($B$15:B22),"")</f>
        <v/>
      </c>
      <c r="B22" s="22" t="str">
        <f t="shared" si="5"/>
        <v/>
      </c>
      <c r="C22" s="25" t="str">
        <f t="shared" si="6"/>
        <v/>
      </c>
      <c r="D22" s="25" t="str">
        <f t="shared" si="7"/>
        <v/>
      </c>
      <c r="E22" s="37" t="str">
        <f t="shared" si="8"/>
        <v/>
      </c>
      <c r="F22" s="33"/>
      <c r="G22" s="44" t="e">
        <f>VLOOKUP(F22,BARANGKELUAR!A3:I1048576,5,TRUE)</f>
        <v>#N/A</v>
      </c>
      <c r="H22" s="2" t="e">
        <f>VLOOKUP(F22,BARANGKELUAR!A3:I1048576,8,TRUE)</f>
        <v>#N/A</v>
      </c>
      <c r="I22" s="2" t="e">
        <f>VLOOKUP(F22,BARANGKELUAR!A3:I1048576,6,TRUE)</f>
        <v>#N/A</v>
      </c>
      <c r="J22" s="40" t="e">
        <f>VLOOKUP(F22,BARANGKELUAR!A3:J1048576,3,FALSE)</f>
        <v>#N/A</v>
      </c>
    </row>
    <row r="23" spans="1:10" ht="24.75" customHeight="1" x14ac:dyDescent="0.35">
      <c r="A23" s="19" t="str">
        <f>IF(B23&lt;&gt;"",COUNTA($B$15:B23),"")</f>
        <v/>
      </c>
      <c r="B23" s="22" t="str">
        <f t="shared" si="5"/>
        <v/>
      </c>
      <c r="C23" s="25" t="str">
        <f t="shared" si="6"/>
        <v/>
      </c>
      <c r="D23" s="25" t="str">
        <f t="shared" si="7"/>
        <v/>
      </c>
      <c r="E23" s="37" t="str">
        <f t="shared" si="8"/>
        <v/>
      </c>
      <c r="F23" s="33"/>
      <c r="G23" s="44" t="e">
        <f>VLOOKUP(F23,BARANGKELUAR!A3:I1048576,5,TRUE)</f>
        <v>#N/A</v>
      </c>
      <c r="H23" s="2" t="e">
        <f>VLOOKUP(F23,BARANGKELUAR!A3:I1048576,8,TRUE)</f>
        <v>#N/A</v>
      </c>
      <c r="I23" s="2" t="e">
        <f>VLOOKUP(F23,BARANGKELUAR!A3:I1048576,6,TRUE)</f>
        <v>#N/A</v>
      </c>
      <c r="J23" s="40" t="e">
        <f>VLOOKUP(F23,BARANGKELUAR!A3:J1048576,3,FALSE)</f>
        <v>#N/A</v>
      </c>
    </row>
    <row r="24" spans="1:10" ht="24.75" customHeight="1" x14ac:dyDescent="0.35">
      <c r="A24" s="19" t="str">
        <f>IF(B24&lt;&gt;"",COUNTA($B$15:B24),"")</f>
        <v/>
      </c>
      <c r="B24" s="22" t="str">
        <f t="shared" si="5"/>
        <v/>
      </c>
      <c r="C24" s="25" t="str">
        <f t="shared" si="6"/>
        <v/>
      </c>
      <c r="D24" s="25" t="str">
        <f t="shared" si="7"/>
        <v/>
      </c>
      <c r="E24" s="37" t="str">
        <f t="shared" si="8"/>
        <v/>
      </c>
      <c r="F24" s="33"/>
      <c r="G24" s="44" t="e">
        <f>VLOOKUP(F24,BARANGKELUAR!A3:I1048576,5,TRUE)</f>
        <v>#N/A</v>
      </c>
      <c r="H24" s="2" t="e">
        <f>VLOOKUP(F24,BARANGKELUAR!A3:I1048576,8,TRUE)</f>
        <v>#N/A</v>
      </c>
      <c r="I24" s="2" t="e">
        <f>VLOOKUP(F24,BARANGKELUAR!A3:I1048576,6,TRUE)</f>
        <v>#N/A</v>
      </c>
      <c r="J24" s="40" t="e">
        <f>VLOOKUP(F24,BARANGKELUAR!A3:J1048576,3,FALSE)</f>
        <v>#N/A</v>
      </c>
    </row>
    <row r="25" spans="1:10" ht="24.75" hidden="1" customHeight="1" x14ac:dyDescent="0.35">
      <c r="A25" s="19" t="str">
        <f>IF(B25&lt;&gt;"",COUNTA($B$15:B25),"")</f>
        <v/>
      </c>
      <c r="B25" s="22" t="str">
        <f t="shared" si="5"/>
        <v/>
      </c>
      <c r="C25" s="25" t="str">
        <f t="shared" si="6"/>
        <v/>
      </c>
      <c r="D25" s="25" t="str">
        <f t="shared" si="7"/>
        <v/>
      </c>
      <c r="E25" s="37" t="str">
        <f t="shared" si="8"/>
        <v/>
      </c>
      <c r="F25" s="33"/>
      <c r="G25" s="44" t="e">
        <f>VLOOKUP(F25,BARANGKELUAR!A3:I1048576,5,TRUE)</f>
        <v>#N/A</v>
      </c>
      <c r="H25" s="2" t="e">
        <f>VLOOKUP(F25,BARANGKELUAR!A3:I1048576,8,TRUE)</f>
        <v>#N/A</v>
      </c>
      <c r="I25" s="2" t="e">
        <f>VLOOKUP(F25,BARANGKELUAR!A3:I1048576,6,TRUE)</f>
        <v>#N/A</v>
      </c>
      <c r="J25" s="40" t="e">
        <f>VLOOKUP(F25,BARANGKELUAR!A3:J1048576,3,FALSE)</f>
        <v>#N/A</v>
      </c>
    </row>
    <row r="26" spans="1:10" ht="24.75" hidden="1" customHeight="1" x14ac:dyDescent="0.35">
      <c r="A26" s="19" t="str">
        <f>IF(B26&lt;&gt;"",COUNTA($B$15:B26),"")</f>
        <v/>
      </c>
      <c r="B26" s="22" t="str">
        <f t="shared" si="5"/>
        <v/>
      </c>
      <c r="C26" s="25" t="str">
        <f t="shared" si="6"/>
        <v/>
      </c>
      <c r="D26" s="25" t="str">
        <f t="shared" si="7"/>
        <v/>
      </c>
      <c r="E26" s="37" t="str">
        <f t="shared" si="8"/>
        <v/>
      </c>
      <c r="F26" s="33"/>
      <c r="G26" s="44" t="e">
        <f>VLOOKUP(F26,BARANGKELUAR!A3:I1048576,5,TRUE)</f>
        <v>#N/A</v>
      </c>
      <c r="H26" s="2" t="e">
        <f>VLOOKUP(F26,BARANGKELUAR!A3:I1048576,8,TRUE)</f>
        <v>#N/A</v>
      </c>
      <c r="I26" s="2" t="e">
        <f>VLOOKUP(F26,BARANGKELUAR!A3:I1048576,6,TRUE)</f>
        <v>#N/A</v>
      </c>
      <c r="J26" s="40" t="e">
        <f>VLOOKUP(F26,BARANGKELUAR!A3:J1048576,3,FALSE)</f>
        <v>#N/A</v>
      </c>
    </row>
    <row r="27" spans="1:10" ht="24.75" hidden="1" customHeight="1" x14ac:dyDescent="0.35">
      <c r="A27" s="19" t="str">
        <f>IF(B27&lt;&gt;"",COUNTA($B$15:B27),"")</f>
        <v/>
      </c>
      <c r="B27" s="22" t="str">
        <f t="shared" si="5"/>
        <v/>
      </c>
      <c r="C27" s="25" t="str">
        <f t="shared" si="6"/>
        <v/>
      </c>
      <c r="D27" s="25" t="str">
        <f t="shared" si="7"/>
        <v/>
      </c>
      <c r="E27" s="37" t="str">
        <f t="shared" si="8"/>
        <v/>
      </c>
      <c r="F27" s="33"/>
      <c r="G27" s="44" t="e">
        <f>VLOOKUP(F27,BARANGKELUAR!#REF!,5,TRUE)</f>
        <v>#REF!</v>
      </c>
      <c r="H27" s="2" t="e">
        <f>VLOOKUP(F27,BARANGKELUAR!#REF!,8,TRUE)</f>
        <v>#REF!</v>
      </c>
      <c r="I27" s="2" t="e">
        <f>VLOOKUP(F27,BARANGKELUAR!#REF!,6,TRUE)</f>
        <v>#REF!</v>
      </c>
      <c r="J27" s="40" t="e">
        <f>VLOOKUP(F27,BARANGKELUAR!#REF!,3,FALSE)</f>
        <v>#REF!</v>
      </c>
    </row>
    <row r="28" spans="1:10" ht="24.75" hidden="1" customHeight="1" x14ac:dyDescent="0.35">
      <c r="A28" s="19" t="str">
        <f>IF(B28&lt;&gt;"",COUNTA($B$15:B28),"")</f>
        <v/>
      </c>
      <c r="B28" s="22" t="str">
        <f t="shared" si="5"/>
        <v/>
      </c>
      <c r="C28" s="25" t="str">
        <f t="shared" si="6"/>
        <v/>
      </c>
      <c r="D28" s="25" t="str">
        <f t="shared" si="7"/>
        <v/>
      </c>
      <c r="E28" s="37" t="str">
        <f t="shared" si="8"/>
        <v/>
      </c>
      <c r="F28" s="45"/>
      <c r="G28" s="44" t="e">
        <f>VLOOKUP(F28,BARANGKELUAR!#REF!,5,TRUE)</f>
        <v>#REF!</v>
      </c>
      <c r="H28" s="2" t="e">
        <f>VLOOKUP(F28,BARANGKELUAR!#REF!,8,TRUE)</f>
        <v>#REF!</v>
      </c>
      <c r="I28" s="2" t="e">
        <f>VLOOKUP(F28,BARANGKELUAR!#REF!,6,TRUE)</f>
        <v>#REF!</v>
      </c>
      <c r="J28" s="40" t="e">
        <f>VLOOKUP(F28,BARANGKELUAR!#REF!,3,FALSE)</f>
        <v>#REF!</v>
      </c>
    </row>
    <row r="29" spans="1:10" ht="24.75" hidden="1" customHeight="1" x14ac:dyDescent="0.35">
      <c r="A29" s="19" t="str">
        <f>IF(B29&lt;&gt;"",COUNTA($B$15:B29),"")</f>
        <v/>
      </c>
      <c r="B29" s="22" t="str">
        <f t="shared" si="5"/>
        <v/>
      </c>
      <c r="C29" s="25" t="str">
        <f t="shared" si="6"/>
        <v/>
      </c>
      <c r="D29" s="25" t="str">
        <f t="shared" si="7"/>
        <v/>
      </c>
      <c r="E29" s="37" t="str">
        <f t="shared" si="8"/>
        <v/>
      </c>
      <c r="F29" s="45"/>
      <c r="G29" s="44" t="e">
        <f>VLOOKUP(F29,BARANGKELUAR!#REF!,5,TRUE)</f>
        <v>#REF!</v>
      </c>
      <c r="H29" s="2" t="e">
        <f>VLOOKUP(F29,BARANGKELUAR!#REF!,8,TRUE)</f>
        <v>#REF!</v>
      </c>
      <c r="I29" s="2" t="e">
        <f>VLOOKUP(F29,BARANGKELUAR!#REF!,6,TRUE)</f>
        <v>#REF!</v>
      </c>
      <c r="J29" s="40" t="e">
        <f>VLOOKUP(F29,BARANGKELUAR!#REF!,3,FALSE)</f>
        <v>#REF!</v>
      </c>
    </row>
    <row r="30" spans="1:10" ht="24.75" hidden="1" customHeight="1" x14ac:dyDescent="0.35">
      <c r="A30" s="19" t="str">
        <f>IF(B30&lt;&gt;"",COUNTA($B$15:B30),"")</f>
        <v/>
      </c>
      <c r="B30" s="22" t="str">
        <f t="shared" si="5"/>
        <v/>
      </c>
      <c r="C30" s="25" t="str">
        <f t="shared" si="6"/>
        <v/>
      </c>
      <c r="D30" s="25" t="str">
        <f t="shared" si="7"/>
        <v/>
      </c>
      <c r="E30" s="37" t="str">
        <f t="shared" si="8"/>
        <v/>
      </c>
      <c r="F30" s="45"/>
      <c r="G30" s="44" t="e">
        <f>VLOOKUP(F30,BARANGKELUAR!#REF!,5,TRUE)</f>
        <v>#REF!</v>
      </c>
      <c r="H30" s="2" t="e">
        <f>VLOOKUP(F30,BARANGKELUAR!#REF!,8,TRUE)</f>
        <v>#REF!</v>
      </c>
      <c r="I30" s="2" t="e">
        <f>VLOOKUP(F30,BARANGKELUAR!#REF!,6,TRUE)</f>
        <v>#REF!</v>
      </c>
      <c r="J30" s="40" t="e">
        <f>VLOOKUP(F30,BARANGKELUAR!#REF!,3,FALSE)</f>
        <v>#REF!</v>
      </c>
    </row>
    <row r="31" spans="1:10" ht="24.75" hidden="1" customHeight="1" x14ac:dyDescent="0.35">
      <c r="A31" s="19" t="str">
        <f>IF(B31&lt;&gt;"",COUNTA($B$15:B31),"")</f>
        <v/>
      </c>
      <c r="B31" s="22" t="str">
        <f t="shared" si="5"/>
        <v/>
      </c>
      <c r="C31" s="25" t="str">
        <f t="shared" si="6"/>
        <v/>
      </c>
      <c r="D31" s="25" t="str">
        <f t="shared" si="7"/>
        <v/>
      </c>
      <c r="E31" s="37" t="str">
        <f t="shared" si="8"/>
        <v/>
      </c>
      <c r="F31" s="45"/>
      <c r="G31" s="44" t="e">
        <f>VLOOKUP(F31,BARANGKELUAR!#REF!,5,TRUE)</f>
        <v>#REF!</v>
      </c>
      <c r="H31" s="2" t="e">
        <f>VLOOKUP(F31,BARANGKELUAR!#REF!,8,TRUE)</f>
        <v>#REF!</v>
      </c>
      <c r="I31" s="2" t="e">
        <f>VLOOKUP(F31,BARANGKELUAR!#REF!,6,TRUE)</f>
        <v>#REF!</v>
      </c>
      <c r="J31" s="40" t="e">
        <f>VLOOKUP(F31,BARANGKELUAR!#REF!,3,FALSE)</f>
        <v>#REF!</v>
      </c>
    </row>
    <row r="32" spans="1:10" ht="24.75" hidden="1" customHeight="1" x14ac:dyDescent="0.35">
      <c r="A32" s="19" t="str">
        <f>IF(B32&lt;&gt;"",COUNTA($B$15:B32),"")</f>
        <v/>
      </c>
      <c r="B32" s="22" t="str">
        <f t="shared" si="5"/>
        <v/>
      </c>
      <c r="C32" s="25" t="str">
        <f t="shared" si="6"/>
        <v/>
      </c>
      <c r="D32" s="25" t="str">
        <f t="shared" si="7"/>
        <v/>
      </c>
      <c r="E32" s="37" t="str">
        <f t="shared" si="8"/>
        <v/>
      </c>
      <c r="F32" s="45"/>
      <c r="G32" s="44" t="e">
        <f>VLOOKUP(F32,BARANGKELUAR!#REF!,5,TRUE)</f>
        <v>#REF!</v>
      </c>
      <c r="H32" s="2" t="e">
        <f>VLOOKUP(F32,BARANGKELUAR!#REF!,8,TRUE)</f>
        <v>#REF!</v>
      </c>
      <c r="I32" s="2" t="e">
        <f>VLOOKUP(F32,BARANGKELUAR!#REF!,6,TRUE)</f>
        <v>#REF!</v>
      </c>
      <c r="J32" s="40" t="e">
        <f>VLOOKUP(F32,BARANGKELUAR!#REF!,3,FALSE)</f>
        <v>#REF!</v>
      </c>
    </row>
    <row r="33" spans="1:10" ht="24.75" hidden="1" customHeight="1" x14ac:dyDescent="0.35">
      <c r="A33" s="19" t="str">
        <f>IF(B33&lt;&gt;"",COUNTA($B$15:B33),"")</f>
        <v/>
      </c>
      <c r="B33" s="22" t="str">
        <f t="shared" si="5"/>
        <v/>
      </c>
      <c r="C33" s="25" t="str">
        <f t="shared" si="6"/>
        <v/>
      </c>
      <c r="D33" s="25" t="str">
        <f t="shared" si="7"/>
        <v/>
      </c>
      <c r="E33" s="37" t="str">
        <f t="shared" si="8"/>
        <v/>
      </c>
      <c r="F33" s="45"/>
      <c r="G33" s="44" t="e">
        <f>VLOOKUP(F33,BARANGKELUAR!#REF!,5,TRUE)</f>
        <v>#REF!</v>
      </c>
      <c r="H33" s="2" t="e">
        <f>VLOOKUP(F33,BARANGKELUAR!#REF!,8,TRUE)</f>
        <v>#REF!</v>
      </c>
      <c r="I33" s="2" t="e">
        <f>VLOOKUP(F33,BARANGKELUAR!#REF!,6,TRUE)</f>
        <v>#REF!</v>
      </c>
      <c r="J33" s="40" t="e">
        <f>VLOOKUP(F33,BARANGKELUAR!#REF!,3,FALSE)</f>
        <v>#REF!</v>
      </c>
    </row>
    <row r="34" spans="1:10" ht="24.75" hidden="1" customHeight="1" x14ac:dyDescent="0.35">
      <c r="A34" s="19" t="str">
        <f>IF(B34&lt;&gt;"",COUNTA($B$15:B34),"")</f>
        <v/>
      </c>
      <c r="B34" s="22" t="str">
        <f t="shared" si="5"/>
        <v/>
      </c>
      <c r="C34" s="25" t="str">
        <f t="shared" si="6"/>
        <v/>
      </c>
      <c r="D34" s="25" t="str">
        <f t="shared" si="7"/>
        <v/>
      </c>
      <c r="E34" s="37" t="str">
        <f t="shared" si="8"/>
        <v/>
      </c>
      <c r="F34" s="45"/>
      <c r="G34" s="44" t="e">
        <f>VLOOKUP(F34,BARANGKELUAR!#REF!,5,TRUE)</f>
        <v>#REF!</v>
      </c>
      <c r="H34" s="2" t="e">
        <f>VLOOKUP(F34,BARANGKELUAR!#REF!,8,TRUE)</f>
        <v>#REF!</v>
      </c>
      <c r="I34" s="2" t="e">
        <f>VLOOKUP(F34,BARANGKELUAR!#REF!,6,TRUE)</f>
        <v>#REF!</v>
      </c>
      <c r="J34" s="40" t="e">
        <f>VLOOKUP(F34,BARANGKELUAR!#REF!,3,FALSE)</f>
        <v>#REF!</v>
      </c>
    </row>
    <row r="35" spans="1:10" ht="24.75" hidden="1" customHeight="1" x14ac:dyDescent="0.35">
      <c r="A35" s="19" t="str">
        <f>IF(B35&lt;&gt;"",COUNTA($B$15:B35),"")</f>
        <v/>
      </c>
      <c r="B35" s="22" t="str">
        <f t="shared" si="5"/>
        <v/>
      </c>
      <c r="C35" s="25" t="str">
        <f t="shared" si="6"/>
        <v/>
      </c>
      <c r="D35" s="25" t="str">
        <f t="shared" si="7"/>
        <v/>
      </c>
      <c r="E35" s="37" t="str">
        <f t="shared" si="8"/>
        <v/>
      </c>
      <c r="F35" s="45"/>
      <c r="G35" s="44" t="e">
        <f>VLOOKUP(F35,BARANGKELUAR!#REF!,5,TRUE)</f>
        <v>#REF!</v>
      </c>
      <c r="H35" s="2" t="e">
        <f>VLOOKUP(F35,BARANGKELUAR!#REF!,8,TRUE)</f>
        <v>#REF!</v>
      </c>
      <c r="I35" s="2" t="e">
        <f>VLOOKUP(F35,BARANGKELUAR!#REF!,6,TRUE)</f>
        <v>#REF!</v>
      </c>
      <c r="J35" s="40" t="e">
        <f>VLOOKUP(F35,BARANGKELUAR!#REF!,3,FALSE)</f>
        <v>#REF!</v>
      </c>
    </row>
    <row r="36" spans="1:10" s="22" customFormat="1" ht="24.75" hidden="1" customHeight="1" x14ac:dyDescent="0.35">
      <c r="A36" s="19" t="str">
        <f>IF(B36&lt;&gt;"",COUNTA($B$15:B36),"")</f>
        <v/>
      </c>
      <c r="B36" s="22" t="str">
        <f t="shared" si="5"/>
        <v/>
      </c>
      <c r="C36" s="25" t="str">
        <f t="shared" si="6"/>
        <v/>
      </c>
      <c r="D36" s="25" t="str">
        <f t="shared" si="7"/>
        <v/>
      </c>
      <c r="E36" s="37" t="str">
        <f t="shared" si="8"/>
        <v/>
      </c>
      <c r="F36" s="45"/>
      <c r="G36" s="44" t="e">
        <f>VLOOKUP(F36,BARANGKELUAR!#REF!,5,TRUE)</f>
        <v>#REF!</v>
      </c>
      <c r="H36" s="2" t="e">
        <f>VLOOKUP(F36,BARANGKELUAR!#REF!,8,TRUE)</f>
        <v>#REF!</v>
      </c>
      <c r="I36" s="2" t="e">
        <f>VLOOKUP(F36,BARANGKELUAR!#REF!,6,TRUE)</f>
        <v>#REF!</v>
      </c>
      <c r="J36" s="40" t="e">
        <f>VLOOKUP(F36,BARANGKELUAR!#REF!,3,FALSE)</f>
        <v>#REF!</v>
      </c>
    </row>
    <row r="37" spans="1:10" s="22" customFormat="1" ht="24.75" hidden="1" customHeight="1" x14ac:dyDescent="0.35">
      <c r="A37" s="19" t="str">
        <f>IF(B37&lt;&gt;"",COUNTA($B$15:B37),"")</f>
        <v/>
      </c>
      <c r="B37" s="22" t="str">
        <f t="shared" si="5"/>
        <v/>
      </c>
      <c r="C37" s="25" t="str">
        <f t="shared" si="6"/>
        <v/>
      </c>
      <c r="D37" s="25" t="str">
        <f t="shared" si="7"/>
        <v/>
      </c>
      <c r="E37" s="37" t="str">
        <f t="shared" si="8"/>
        <v/>
      </c>
      <c r="F37" s="45"/>
      <c r="G37" s="44" t="e">
        <f>VLOOKUP(F37,BARANGKELUAR!#REF!,5,TRUE)</f>
        <v>#REF!</v>
      </c>
      <c r="H37" s="2" t="e">
        <f>VLOOKUP(F37,BARANGKELUAR!#REF!,8,TRUE)</f>
        <v>#REF!</v>
      </c>
      <c r="I37" s="2" t="e">
        <f>VLOOKUP(F37,BARANGKELUAR!#REF!,6,TRUE)</f>
        <v>#REF!</v>
      </c>
      <c r="J37" s="40" t="e">
        <f>VLOOKUP(F37,BARANGKELUAR!#REF!,3,FALSE)</f>
        <v>#REF!</v>
      </c>
    </row>
    <row r="38" spans="1:10" s="22" customFormat="1" ht="24.75" hidden="1" customHeight="1" x14ac:dyDescent="0.35">
      <c r="A38" s="19" t="str">
        <f>IF(B38&lt;&gt;"",COUNTA($B$15:B38),"")</f>
        <v/>
      </c>
      <c r="B38" s="22" t="str">
        <f t="shared" si="5"/>
        <v/>
      </c>
      <c r="C38" s="25" t="str">
        <f t="shared" si="6"/>
        <v/>
      </c>
      <c r="D38" s="25" t="str">
        <f t="shared" si="7"/>
        <v/>
      </c>
      <c r="E38" s="37" t="str">
        <f t="shared" si="8"/>
        <v/>
      </c>
      <c r="F38" s="45"/>
      <c r="G38" s="44" t="e">
        <f>VLOOKUP(F38,BARANGKELUAR!#REF!,5,TRUE)</f>
        <v>#REF!</v>
      </c>
      <c r="H38" s="2" t="e">
        <f>VLOOKUP(F38,BARANGKELUAR!#REF!,8,TRUE)</f>
        <v>#REF!</v>
      </c>
      <c r="I38" s="2" t="e">
        <f>VLOOKUP(F38,BARANGKELUAR!#REF!,6,TRUE)</f>
        <v>#REF!</v>
      </c>
      <c r="J38" s="40" t="e">
        <f>VLOOKUP(F38,BARANGKELUAR!#REF!,3,FALSE)</f>
        <v>#REF!</v>
      </c>
    </row>
    <row r="39" spans="1:10" ht="24.75" hidden="1" customHeight="1" x14ac:dyDescent="0.35">
      <c r="A39" s="19" t="str">
        <f>IF(B39&lt;&gt;"",COUNTA($B$15:B39),"")</f>
        <v/>
      </c>
      <c r="B39" s="22" t="str">
        <f t="shared" si="5"/>
        <v/>
      </c>
      <c r="C39" s="25" t="str">
        <f t="shared" si="6"/>
        <v/>
      </c>
      <c r="D39" s="25" t="str">
        <f t="shared" si="7"/>
        <v/>
      </c>
      <c r="E39" s="37" t="str">
        <f t="shared" si="8"/>
        <v/>
      </c>
      <c r="F39" s="45"/>
      <c r="G39" s="44" t="e">
        <f>VLOOKUP(F39,BARANGKELUAR!#REF!,5,TRUE)</f>
        <v>#REF!</v>
      </c>
      <c r="H39" s="2" t="e">
        <f>VLOOKUP(F39,BARANGKELUAR!#REF!,8,TRUE)</f>
        <v>#REF!</v>
      </c>
      <c r="I39" s="2" t="e">
        <f>VLOOKUP(F39,BARANGKELUAR!#REF!,6,TRUE)</f>
        <v>#REF!</v>
      </c>
      <c r="J39" s="40" t="e">
        <f>VLOOKUP(F39,BARANGKELUAR!#REF!,3,FALSE)</f>
        <v>#REF!</v>
      </c>
    </row>
    <row r="40" spans="1:10" ht="15.5" x14ac:dyDescent="0.35">
      <c r="A40" s="17"/>
      <c r="B40" s="18"/>
      <c r="C40" s="18"/>
      <c r="D40" s="18"/>
      <c r="E40" s="18"/>
      <c r="F40" s="18"/>
    </row>
    <row r="41" spans="1:10" ht="15.5" x14ac:dyDescent="0.35">
      <c r="A41" s="78" t="s">
        <v>762</v>
      </c>
      <c r="B41" s="78"/>
      <c r="C41" s="78" t="s">
        <v>31</v>
      </c>
      <c r="D41" s="78"/>
      <c r="E41" s="78"/>
      <c r="F41" s="19"/>
    </row>
    <row r="42" spans="1:10" ht="15.5" x14ac:dyDescent="0.35">
      <c r="A42" s="18"/>
      <c r="B42" s="18"/>
      <c r="C42" s="78" t="s">
        <v>387</v>
      </c>
      <c r="D42" s="78"/>
      <c r="E42" s="78"/>
      <c r="F42" s="19"/>
    </row>
    <row r="43" spans="1:10" ht="15.5" x14ac:dyDescent="0.35">
      <c r="A43" s="18"/>
      <c r="B43" s="18"/>
      <c r="C43" s="78" t="s">
        <v>32</v>
      </c>
      <c r="D43" s="78"/>
      <c r="E43" s="78"/>
      <c r="F43" s="19"/>
    </row>
    <row r="44" spans="1:10" ht="15.5" x14ac:dyDescent="0.35">
      <c r="A44" s="17"/>
      <c r="B44" s="18"/>
      <c r="C44" s="17"/>
      <c r="D44" s="17"/>
      <c r="E44" s="17"/>
      <c r="F44" s="19"/>
    </row>
    <row r="45" spans="1:10" ht="15.5" x14ac:dyDescent="0.35">
      <c r="A45" s="18"/>
      <c r="B45" s="18"/>
      <c r="C45" s="17"/>
      <c r="D45" s="17"/>
      <c r="E45" s="17"/>
      <c r="F45" s="19"/>
    </row>
    <row r="46" spans="1:10" ht="15.5" x14ac:dyDescent="0.35">
      <c r="A46" s="18"/>
      <c r="B46" s="18"/>
      <c r="C46" s="17"/>
      <c r="D46" s="17"/>
      <c r="E46" s="17"/>
      <c r="F46" s="20"/>
    </row>
    <row r="47" spans="1:10" ht="15.5" x14ac:dyDescent="0.35">
      <c r="A47" s="78" t="str">
        <f>VLOOKUP(F15,BARANGKELUAR!A3:I1048576,9,TRUE)</f>
        <v>Zainika Ichtarona, S.Tr.Stat</v>
      </c>
      <c r="B47" s="78"/>
      <c r="C47" s="78" t="s">
        <v>388</v>
      </c>
      <c r="D47" s="78"/>
      <c r="E47" s="78"/>
      <c r="F47" s="19"/>
    </row>
    <row r="48" spans="1:10" ht="15.5" x14ac:dyDescent="0.35">
      <c r="A48" s="18"/>
      <c r="B48" s="18"/>
      <c r="C48" s="21"/>
      <c r="D48" s="21"/>
      <c r="E48" s="21"/>
      <c r="F48" s="18"/>
    </row>
  </sheetData>
  <dataConsolidate/>
  <mergeCells count="7">
    <mergeCell ref="A7:E7"/>
    <mergeCell ref="C47:E47"/>
    <mergeCell ref="C43:E43"/>
    <mergeCell ref="C42:E42"/>
    <mergeCell ref="C41:E41"/>
    <mergeCell ref="A47:B47"/>
    <mergeCell ref="A41:B41"/>
  </mergeCells>
  <conditionalFormatting sqref="K36:XFD38 A15:F39">
    <cfRule type="expression" dxfId="3" priority="2">
      <formula>$A15&lt;&gt;""</formula>
    </cfRule>
  </conditionalFormatting>
  <conditionalFormatting sqref="J15:J39">
    <cfRule type="expression" dxfId="2" priority="1">
      <formula>$A15&lt;&gt;""</formula>
    </cfRule>
  </conditionalFormatting>
  <printOptions horizontalCentered="1"/>
  <pageMargins left="0.39370078740157499" right="0.39370078740157499" top="0.74803149606299202" bottom="0.74803149606299202" header="0.31496062992126" footer="0.31496062992126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6F5B01-4E2B-412A-8F45-C0BE678787E7}">
          <x14:formula1>
            <xm:f>BARANGKELUAR!$E$4:$E$1048576</xm:f>
          </x14:formula1>
          <xm:sqref>K36:XFD38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41AD6-FDB1-4E13-8DE6-4642AA3C8381}">
  <sheetPr codeName="Sheet17">
    <tabColor rgb="FF00FF00"/>
    <pageSetUpPr fitToPage="1"/>
  </sheetPr>
  <dimension ref="A5:M65"/>
  <sheetViews>
    <sheetView view="pageLayout" topLeftCell="A9" zoomScale="70" zoomScaleNormal="115" zoomScaleSheetLayoutView="55" zoomScalePageLayoutView="70" workbookViewId="0">
      <selection activeCell="A9" sqref="A9:XFD9"/>
    </sheetView>
  </sheetViews>
  <sheetFormatPr defaultColWidth="9.1796875" defaultRowHeight="18.5" x14ac:dyDescent="0.35"/>
  <cols>
    <col min="1" max="1" width="8.1796875" style="15" customWidth="1"/>
    <col min="2" max="2" width="45.26953125" style="15" bestFit="1" customWidth="1"/>
    <col min="3" max="3" width="8.1796875" style="15" customWidth="1"/>
    <col min="4" max="4" width="10.453125" style="15" customWidth="1"/>
    <col min="5" max="5" width="15.7265625" style="15" customWidth="1"/>
    <col min="6" max="6" width="29" style="71" bestFit="1" customWidth="1"/>
    <col min="7" max="7" width="13" style="15" customWidth="1"/>
    <col min="8" max="8" width="16.81640625" style="15" customWidth="1"/>
    <col min="9" max="9" width="21.453125" style="65" customWidth="1"/>
    <col min="10" max="10" width="39.1796875" style="71" hidden="1" customWidth="1"/>
    <col min="11" max="11" width="16.1796875" style="1" hidden="1" customWidth="1"/>
    <col min="12" max="12" width="7.1796875" style="1" hidden="1" customWidth="1"/>
    <col min="13" max="13" width="20.1796875" style="15" hidden="1" customWidth="1"/>
    <col min="14" max="16384" width="9.1796875" style="15"/>
  </cols>
  <sheetData>
    <row r="5" spans="1:13" ht="17.5" x14ac:dyDescent="0.35">
      <c r="A5" s="80" t="s">
        <v>29</v>
      </c>
      <c r="B5" s="80"/>
      <c r="C5" s="80"/>
      <c r="D5" s="80"/>
      <c r="E5" s="80"/>
      <c r="F5" s="80"/>
      <c r="G5" s="80"/>
      <c r="H5" s="80"/>
      <c r="I5" s="46"/>
    </row>
    <row r="6" spans="1:13" ht="13.5" customHeight="1" x14ac:dyDescent="0.35">
      <c r="A6" s="48"/>
      <c r="B6" s="48"/>
      <c r="C6" s="48"/>
      <c r="D6" s="48"/>
      <c r="E6" s="48"/>
      <c r="F6" s="66"/>
      <c r="G6" s="48"/>
      <c r="H6" s="48"/>
      <c r="I6" s="63"/>
    </row>
    <row r="7" spans="1:13" ht="17.5" x14ac:dyDescent="0.35">
      <c r="A7" s="51"/>
      <c r="B7" s="51"/>
      <c r="C7" s="51"/>
      <c r="D7" s="51"/>
      <c r="E7" s="51"/>
      <c r="F7" s="67"/>
      <c r="G7" s="49" t="s">
        <v>33</v>
      </c>
      <c r="H7" s="50">
        <v>45989</v>
      </c>
      <c r="I7" s="64"/>
    </row>
    <row r="8" spans="1:13" ht="18" x14ac:dyDescent="0.35">
      <c r="A8" s="48"/>
      <c r="B8" s="48"/>
      <c r="C8" s="48"/>
      <c r="D8" s="48"/>
      <c r="E8" s="48"/>
      <c r="F8" s="66"/>
      <c r="G8" s="48"/>
      <c r="H8" s="48"/>
      <c r="I8" s="63"/>
    </row>
    <row r="9" spans="1:13" ht="36" customHeight="1" x14ac:dyDescent="0.35">
      <c r="A9" s="52" t="s">
        <v>386</v>
      </c>
      <c r="B9" s="52" t="s">
        <v>2</v>
      </c>
      <c r="C9" s="52" t="s">
        <v>23</v>
      </c>
      <c r="D9" s="52" t="s">
        <v>4</v>
      </c>
      <c r="E9" s="52" t="s">
        <v>761</v>
      </c>
      <c r="F9" s="52" t="s">
        <v>24</v>
      </c>
      <c r="G9" s="52" t="s">
        <v>390</v>
      </c>
      <c r="H9" s="52" t="s">
        <v>991</v>
      </c>
      <c r="I9" s="38" t="s">
        <v>0</v>
      </c>
      <c r="J9" s="72" t="s">
        <v>389</v>
      </c>
      <c r="K9" s="72" t="s">
        <v>23</v>
      </c>
      <c r="L9" s="72" t="s">
        <v>4</v>
      </c>
      <c r="M9" s="74" t="s">
        <v>9</v>
      </c>
    </row>
    <row r="10" spans="1:13" s="76" customFormat="1" ht="18" x14ac:dyDescent="0.35">
      <c r="A10" s="53">
        <f>IF(B10&lt;&gt;"",COUNTA($B$10:B10),"")</f>
        <v>1</v>
      </c>
      <c r="B10" s="54" t="str">
        <f>IF(I10&gt;0,J10,"")</f>
        <v>Kertas A4 75 Gsm</v>
      </c>
      <c r="C10" s="55">
        <f t="shared" ref="C10" si="0">IF(J10&gt;0,K10,"")</f>
        <v>1</v>
      </c>
      <c r="D10" s="55" t="str">
        <f>IF(K10&gt;0,L10,"")</f>
        <v>Rim</v>
      </c>
      <c r="E10" s="56">
        <f>IF(I10&gt;0,M10,"")</f>
        <v>46237</v>
      </c>
      <c r="F10" s="68" t="str">
        <f>VLOOKUP(I10,BARANGKELUAR!A3:I1048576,9,TRUE)</f>
        <v>Muh. Reza Agung Wirawan, A.Md.Stat</v>
      </c>
      <c r="G10" s="56" t="str">
        <f>VLOOKUP(I10,BARANGKELUAR!$A$3:$J$1048576,10,TRUE)</f>
        <v>UMUM</v>
      </c>
      <c r="H10" s="56"/>
      <c r="I10" s="62">
        <v>474</v>
      </c>
      <c r="J10" s="73" t="str">
        <f>VLOOKUP(I10,BARANGKELUAR!A3:I1048576,5,TRUE)</f>
        <v>Kertas A4 75 Gsm</v>
      </c>
      <c r="K10" s="57">
        <f>VLOOKUP(I10,BARANGKELUAR!A3:I1048576,8,TRUE)</f>
        <v>1</v>
      </c>
      <c r="L10" s="57" t="str">
        <f>VLOOKUP(I10,BARANGKELUAR!A3:I1048576,6,TRUE)</f>
        <v>Rim</v>
      </c>
      <c r="M10" s="75">
        <f>VLOOKUP(I10,BARANGKELUAR!A3:J1048576,3,FALSE)</f>
        <v>46237</v>
      </c>
    </row>
    <row r="11" spans="1:13" s="76" customFormat="1" ht="18" x14ac:dyDescent="0.35">
      <c r="A11" s="53">
        <f>IF(B11&lt;&gt;"",COUNTA($B$10:B11),"")</f>
        <v>2</v>
      </c>
      <c r="B11" s="54" t="str">
        <f>IF(I11&gt;0,J11,"")</f>
        <v>Stapler Joyko HD-10D</v>
      </c>
      <c r="C11" s="58">
        <f>IF(I11&gt;0,K11,"")</f>
        <v>1</v>
      </c>
      <c r="D11" s="58" t="str">
        <f>IF(I11&gt;0,L11,"")</f>
        <v>Buah</v>
      </c>
      <c r="E11" s="59">
        <f>IF(I11&gt;0,M11,"")</f>
        <v>46237</v>
      </c>
      <c r="F11" s="68" t="str">
        <f>VLOOKUP(I11,BARANGKELUAR!A3:I1048576,9,TRUE)</f>
        <v>Muh. Reza Agung Wirawan, A.Md.Stat</v>
      </c>
      <c r="G11" s="59" t="str">
        <f>VLOOKUP(I11,BARANGKELUAR!$A$3:$J$1048576,10,TRUE)</f>
        <v>UMUM</v>
      </c>
      <c r="H11" s="59"/>
      <c r="I11" s="62">
        <v>475</v>
      </c>
      <c r="J11" s="73" t="str">
        <f>VLOOKUP(I11,BARANGKELUAR!A3:I1048576,5,TRUE)</f>
        <v>Stapler Joyko HD-10D</v>
      </c>
      <c r="K11" s="57">
        <f>VLOOKUP(I11,BARANGKELUAR!A3:I1048576,8,TRUE)</f>
        <v>1</v>
      </c>
      <c r="L11" s="57" t="str">
        <f>VLOOKUP(I11,BARANGKELUAR!A3:I1048576,6,TRUE)</f>
        <v>Buah</v>
      </c>
      <c r="M11" s="75">
        <f>VLOOKUP(I11,BARANGKELUAR!A3:J1048576,3,FALSE)</f>
        <v>46237</v>
      </c>
    </row>
    <row r="12" spans="1:13" s="76" customFormat="1" ht="18" x14ac:dyDescent="0.35">
      <c r="A12" s="60">
        <f>IF(B12&lt;&gt;"",COUNTA($B$10:B12),"")</f>
        <v>3</v>
      </c>
      <c r="B12" s="61" t="str">
        <f>IF(I12&gt;0,J12,"")</f>
        <v>TN Box Arsip L ELA/BH</v>
      </c>
      <c r="C12" s="58">
        <f>IF(I12&gt;0,K12,"")</f>
        <v>2</v>
      </c>
      <c r="D12" s="58" t="str">
        <f>IF(I12&gt;0,L12,"")</f>
        <v>Buah</v>
      </c>
      <c r="E12" s="59">
        <f t="shared" ref="E12:E33" si="1">IF(I12&gt;0,M12,"")</f>
        <v>46237</v>
      </c>
      <c r="F12" s="69" t="str">
        <f>VLOOKUP(I12,BARANGKELUAR!A3:I1048576,9,TRUE)</f>
        <v>Imaniar Dwi Aryanti S, S.TP</v>
      </c>
      <c r="G12" s="59" t="str">
        <f>VLOOKUP(I12,BARANGKELUAR!$A$3:$J$1048576,10,TRUE)</f>
        <v>UMUM</v>
      </c>
      <c r="H12" s="59"/>
      <c r="I12" s="62">
        <v>476</v>
      </c>
      <c r="J12" s="73" t="str">
        <f>VLOOKUP(I12,BARANGKELUAR!A3:I1048576,5,TRUE)</f>
        <v>TN Box Arsip L ELA/BH</v>
      </c>
      <c r="K12" s="57">
        <f>VLOOKUP(I12,BARANGKELUAR!A3:I1048576,8,TRUE)</f>
        <v>2</v>
      </c>
      <c r="L12" s="57" t="str">
        <f>VLOOKUP(I12,BARANGKELUAR!A3:I1048576,6,TRUE)</f>
        <v>Buah</v>
      </c>
      <c r="M12" s="75">
        <f>VLOOKUP(I12,BARANGKELUAR!A3:J1048576,3,FALSE)</f>
        <v>46237</v>
      </c>
    </row>
    <row r="13" spans="1:13" s="76" customFormat="1" ht="18" x14ac:dyDescent="0.35">
      <c r="A13" s="60">
        <f>IF(B13&lt;&gt;"",COUNTA($B$10:B13),"")</f>
        <v>4</v>
      </c>
      <c r="B13" s="61" t="str">
        <f t="shared" ref="B13:B33" si="2">IF(I13&gt;0,J13,"")</f>
        <v>Kertas A4 75 Gsm</v>
      </c>
      <c r="C13" s="58">
        <f t="shared" ref="C13:C31" si="3">IF(I13&gt;0,K13,"")</f>
        <v>1</v>
      </c>
      <c r="D13" s="58" t="str">
        <f t="shared" ref="D13:D33" si="4">IF(I13&gt;0,L13,"")</f>
        <v>Rim</v>
      </c>
      <c r="E13" s="59">
        <f t="shared" si="1"/>
        <v>46238</v>
      </c>
      <c r="F13" s="69" t="str">
        <f>VLOOKUP(I13,BARANGKELUAR!A3:I1048576,9,TRUE)</f>
        <v>Achmad Syahrul Ramadhani, A.Md</v>
      </c>
      <c r="G13" s="59" t="str">
        <f>VLOOKUP(I13,BARANGKELUAR!$A$3:$J$1048576,10,TRUE)</f>
        <v>SOSIAL</v>
      </c>
      <c r="H13" s="59"/>
      <c r="I13" s="62">
        <v>477</v>
      </c>
      <c r="J13" s="73" t="str">
        <f>VLOOKUP(I13,BARANGKELUAR!A3:I1048576,5,TRUE)</f>
        <v>Kertas A4 75 Gsm</v>
      </c>
      <c r="K13" s="57">
        <f>VLOOKUP(I13,BARANGKELUAR!A3:I1048576,8,TRUE)</f>
        <v>1</v>
      </c>
      <c r="L13" s="57" t="str">
        <f>VLOOKUP(I13,BARANGKELUAR!A3:I1048576,6,TRUE)</f>
        <v>Rim</v>
      </c>
      <c r="M13" s="75">
        <f>VLOOKUP(I13,BARANGKELUAR!A3:J1048576,3,FALSE)</f>
        <v>46238</v>
      </c>
    </row>
    <row r="14" spans="1:13" s="76" customFormat="1" ht="18" x14ac:dyDescent="0.35">
      <c r="A14" s="60">
        <f>IF(B14&lt;&gt;"",COUNTA($B$10:B14),"")</f>
        <v>5</v>
      </c>
      <c r="B14" s="61" t="str">
        <f t="shared" si="2"/>
        <v>Standard Elite Bold</v>
      </c>
      <c r="C14" s="58">
        <f t="shared" si="3"/>
        <v>1</v>
      </c>
      <c r="D14" s="58" t="str">
        <f t="shared" si="4"/>
        <v>Pack</v>
      </c>
      <c r="E14" s="59">
        <f t="shared" si="1"/>
        <v>46238</v>
      </c>
      <c r="F14" s="69" t="str">
        <f>VLOOKUP(I14,BARANGKELUAR!A3:I1048576,9,TRUE)</f>
        <v>Mardiah S.Si</v>
      </c>
      <c r="G14" s="59" t="str">
        <f>VLOOKUP(I14,BARANGKELUAR!$A$3:$J$1048576,10,TRUE)</f>
        <v>UMUM</v>
      </c>
      <c r="H14" s="59"/>
      <c r="I14" s="62">
        <v>478</v>
      </c>
      <c r="J14" s="73" t="str">
        <f>VLOOKUP(I14,BARANGKELUAR!A3:I1048576,5,TRUE)</f>
        <v>Standard Elite Bold</v>
      </c>
      <c r="K14" s="57">
        <f>VLOOKUP(I14,BARANGKELUAR!A3:I1048576,8,TRUE)</f>
        <v>1</v>
      </c>
      <c r="L14" s="57" t="str">
        <f>VLOOKUP(I14,BARANGKELUAR!A3:I1048576,6,TRUE)</f>
        <v>Pack</v>
      </c>
      <c r="M14" s="75">
        <f>VLOOKUP(I14,BARANGKELUAR!A3:J1048576,3,FALSE)</f>
        <v>46238</v>
      </c>
    </row>
    <row r="15" spans="1:13" s="76" customFormat="1" ht="18" x14ac:dyDescent="0.35">
      <c r="A15" s="60">
        <f>IF(B15&lt;&gt;"",COUNTA($B$10:B15),"")</f>
        <v>6</v>
      </c>
      <c r="B15" s="61" t="str">
        <f t="shared" si="2"/>
        <v>Kertas A4 75 Gsm</v>
      </c>
      <c r="C15" s="58">
        <f t="shared" si="3"/>
        <v>1</v>
      </c>
      <c r="D15" s="58" t="str">
        <f t="shared" si="4"/>
        <v>Rim</v>
      </c>
      <c r="E15" s="59">
        <f t="shared" si="1"/>
        <v>46238</v>
      </c>
      <c r="F15" s="69" t="str">
        <f>VLOOKUP(I15,BARANGKELUAR!A3:I1048576,9,TRUE)</f>
        <v>Misbahuddin, S.Si</v>
      </c>
      <c r="G15" s="59" t="str">
        <f>VLOOKUP(I15,BARANGKELUAR!$A$3:$J$1048576,10,TRUE)</f>
        <v>NERACA</v>
      </c>
      <c r="H15" s="59"/>
      <c r="I15" s="62">
        <v>479</v>
      </c>
      <c r="J15" s="73" t="str">
        <f>VLOOKUP(I15,BARANGKELUAR!A3:I1048576,5,TRUE)</f>
        <v>Kertas A4 75 Gsm</v>
      </c>
      <c r="K15" s="57">
        <f>VLOOKUP(I15,BARANGKELUAR!A3:I1048576,8,TRUE)</f>
        <v>1</v>
      </c>
      <c r="L15" s="57" t="str">
        <f>VLOOKUP(I15,BARANGKELUAR!A3:I1048576,6,TRUE)</f>
        <v>Rim</v>
      </c>
      <c r="M15" s="75">
        <f>VLOOKUP(I15,BARANGKELUAR!A3:J1048576,3,FALSE)</f>
        <v>46238</v>
      </c>
    </row>
    <row r="16" spans="1:13" s="76" customFormat="1" ht="18" x14ac:dyDescent="0.35">
      <c r="A16" s="60">
        <f>IF(B16&lt;&gt;"",COUNTA($B$10:B16),"")</f>
        <v>7</v>
      </c>
      <c r="B16" s="61" t="str">
        <f t="shared" si="2"/>
        <v>Kertas A4 75 Gsm</v>
      </c>
      <c r="C16" s="58">
        <f t="shared" si="3"/>
        <v>1</v>
      </c>
      <c r="D16" s="58" t="str">
        <f t="shared" si="4"/>
        <v>Rim</v>
      </c>
      <c r="E16" s="59">
        <f t="shared" si="1"/>
        <v>46238</v>
      </c>
      <c r="F16" s="69" t="str">
        <f>VLOOKUP(I16,BARANGKELUAR!A3:I1048576,9,TRUE)</f>
        <v>Muh. Reza Agung Wirawan, A.Md.Stat</v>
      </c>
      <c r="G16" s="59" t="str">
        <f>VLOOKUP(I16,BARANGKELUAR!$A$3:$J$1048576,10,TRUE)</f>
        <v>UMUM</v>
      </c>
      <c r="H16" s="59"/>
      <c r="I16" s="62">
        <v>480</v>
      </c>
      <c r="J16" s="73" t="str">
        <f>VLOOKUP(I16,BARANGKELUAR!A3:I1048576,5,TRUE)</f>
        <v>Kertas A4 75 Gsm</v>
      </c>
      <c r="K16" s="57">
        <f>VLOOKUP(I16,BARANGKELUAR!A3:I1048576,8,TRUE)</f>
        <v>1</v>
      </c>
      <c r="L16" s="57" t="str">
        <f>VLOOKUP(I16,BARANGKELUAR!A3:I1048576,6,TRUE)</f>
        <v>Rim</v>
      </c>
      <c r="M16" s="75">
        <f>VLOOKUP(I16,BARANGKELUAR!A3:J1048576,3,FALSE)</f>
        <v>46238</v>
      </c>
    </row>
    <row r="17" spans="1:13" s="76" customFormat="1" ht="18" x14ac:dyDescent="0.35">
      <c r="A17" s="60">
        <f>IF(B17&lt;&gt;"",COUNTA($B$10:B17),"")</f>
        <v>8</v>
      </c>
      <c r="B17" s="61" t="str">
        <f t="shared" si="2"/>
        <v>Kertas A4 75 Gsm</v>
      </c>
      <c r="C17" s="58">
        <f t="shared" si="3"/>
        <v>1</v>
      </c>
      <c r="D17" s="58" t="str">
        <f t="shared" si="4"/>
        <v>Rim</v>
      </c>
      <c r="E17" s="59">
        <f t="shared" si="1"/>
        <v>46244</v>
      </c>
      <c r="F17" s="69" t="str">
        <f>VLOOKUP(I17,BARANGKELUAR!A3:I1048576,9,TRUE)</f>
        <v>Imaniar Dwi Aryanti S, S.TP</v>
      </c>
      <c r="G17" s="59" t="str">
        <f>VLOOKUP(I17,BARANGKELUAR!$A$3:$J$1048576,10,TRUE)</f>
        <v>UMUM</v>
      </c>
      <c r="H17" s="59"/>
      <c r="I17" s="62">
        <v>481</v>
      </c>
      <c r="J17" s="73" t="str">
        <f>VLOOKUP(I17,BARANGKELUAR!A3:I1048576,5,TRUE)</f>
        <v>Kertas A4 75 Gsm</v>
      </c>
      <c r="K17" s="57">
        <f>VLOOKUP(I17,BARANGKELUAR!A3:I1048576,8,TRUE)</f>
        <v>1</v>
      </c>
      <c r="L17" s="57" t="str">
        <f>VLOOKUP(I17,BARANGKELUAR!A3:I1048576,6,TRUE)</f>
        <v>Rim</v>
      </c>
      <c r="M17" s="75">
        <f>VLOOKUP(I17,BARANGKELUAR!A3:J1048576,3,FALSE)</f>
        <v>46244</v>
      </c>
    </row>
    <row r="18" spans="1:13" s="76" customFormat="1" ht="18" x14ac:dyDescent="0.35">
      <c r="A18" s="60">
        <f>IF(B18&lt;&gt;"",COUNTA($B$10:B18),"")</f>
        <v>9</v>
      </c>
      <c r="B18" s="61" t="str">
        <f t="shared" si="2"/>
        <v>Kertas A4 75 Gsm</v>
      </c>
      <c r="C18" s="58">
        <f t="shared" si="3"/>
        <v>1</v>
      </c>
      <c r="D18" s="58" t="str">
        <f t="shared" si="4"/>
        <v>Rim</v>
      </c>
      <c r="E18" s="59">
        <f t="shared" si="1"/>
        <v>46244</v>
      </c>
      <c r="F18" s="69" t="str">
        <f>VLOOKUP(I18,BARANGKELUAR!A3:I1048576,9,TRUE)</f>
        <v>Nur Lianasari A.Md.Stat</v>
      </c>
      <c r="G18" s="59" t="str">
        <f>VLOOKUP(I18,BARANGKELUAR!$A$3:$J$1048576,10,TRUE)</f>
        <v>PRODUKSI</v>
      </c>
      <c r="H18" s="59"/>
      <c r="I18" s="62">
        <v>482</v>
      </c>
      <c r="J18" s="73" t="str">
        <f>VLOOKUP(I18,BARANGKELUAR!A3:I1048576,5,TRUE)</f>
        <v>Kertas A4 75 Gsm</v>
      </c>
      <c r="K18" s="57">
        <f>VLOOKUP(I18,BARANGKELUAR!A3:I1048576,8,TRUE)</f>
        <v>1</v>
      </c>
      <c r="L18" s="57" t="str">
        <f>VLOOKUP(I18,BARANGKELUAR!A3:I1048576,6,TRUE)</f>
        <v>Rim</v>
      </c>
      <c r="M18" s="75">
        <f>VLOOKUP(I18,BARANGKELUAR!A3:J1048576,3,FALSE)</f>
        <v>46244</v>
      </c>
    </row>
    <row r="19" spans="1:13" s="76" customFormat="1" ht="18" x14ac:dyDescent="0.35">
      <c r="A19" s="60">
        <f>IF(B19&lt;&gt;"",COUNTA($B$10:B19),"")</f>
        <v>10</v>
      </c>
      <c r="B19" s="61" t="str">
        <f t="shared" si="2"/>
        <v>Kertas A4 75 Gsm</v>
      </c>
      <c r="C19" s="58">
        <f t="shared" si="3"/>
        <v>1</v>
      </c>
      <c r="D19" s="58" t="str">
        <f t="shared" si="4"/>
        <v>Rim</v>
      </c>
      <c r="E19" s="59">
        <f t="shared" si="1"/>
        <v>45966</v>
      </c>
      <c r="F19" s="69" t="str">
        <f>VLOOKUP(I19,BARANGKELUAR!A3:I1048576,9,TRUE)</f>
        <v xml:space="preserve">Rima Mayyadah S.Tr.Stat </v>
      </c>
      <c r="G19" s="59" t="str">
        <f>VLOOKUP(I19,BARANGKELUAR!$A$3:$J$1048576,10,TRUE)</f>
        <v>SOSIAL</v>
      </c>
      <c r="H19" s="59"/>
      <c r="I19" s="62">
        <v>248</v>
      </c>
      <c r="J19" s="73" t="str">
        <f>VLOOKUP(I19,BARANGKELUAR!A3:I1048576,5,TRUE)</f>
        <v>Kertas A4 75 Gsm</v>
      </c>
      <c r="K19" s="57">
        <f>VLOOKUP(I19,BARANGKELUAR!A3:I1048576,8,TRUE)</f>
        <v>1</v>
      </c>
      <c r="L19" s="57" t="str">
        <f>VLOOKUP(I19,BARANGKELUAR!A3:I1048576,6,TRUE)</f>
        <v>Rim</v>
      </c>
      <c r="M19" s="75">
        <f>VLOOKUP(I19,BARANGKELUAR!A3:J1048576,3,FALSE)</f>
        <v>45966</v>
      </c>
    </row>
    <row r="20" spans="1:13" s="76" customFormat="1" ht="18" x14ac:dyDescent="0.35">
      <c r="A20" s="60">
        <f>IF(B20&lt;&gt;"",COUNTA($B$10:B20),"")</f>
        <v>11</v>
      </c>
      <c r="B20" s="61" t="str">
        <f t="shared" si="2"/>
        <v>Kertas A4 75 Gsm</v>
      </c>
      <c r="C20" s="58">
        <f t="shared" si="3"/>
        <v>1</v>
      </c>
      <c r="D20" s="58" t="str">
        <f t="shared" si="4"/>
        <v>Rim</v>
      </c>
      <c r="E20" s="59">
        <f t="shared" si="1"/>
        <v>45967</v>
      </c>
      <c r="F20" s="69" t="str">
        <f>VLOOKUP(I20,BARANGKELUAR!A3:I1048576,9,TRUE)</f>
        <v>Ian Tryaldi Halim, S.Tr.Stat</v>
      </c>
      <c r="G20" s="59" t="str">
        <f>VLOOKUP(I20,BARANGKELUAR!$A$3:$J$1048576,10,TRUE)</f>
        <v>NERACA</v>
      </c>
      <c r="H20" s="59"/>
      <c r="I20" s="62">
        <v>249</v>
      </c>
      <c r="J20" s="73" t="str">
        <f>VLOOKUP(I20,BARANGKELUAR!A3:I1048576,5,TRUE)</f>
        <v>Kertas A4 75 Gsm</v>
      </c>
      <c r="K20" s="57">
        <f>VLOOKUP(I20,BARANGKELUAR!A3:I1048576,8,TRUE)</f>
        <v>1</v>
      </c>
      <c r="L20" s="57" t="str">
        <f>VLOOKUP(I20,BARANGKELUAR!A3:I1048576,6,TRUE)</f>
        <v>Rim</v>
      </c>
      <c r="M20" s="75">
        <f>VLOOKUP(I20,BARANGKELUAR!A3:J1048576,3,FALSE)</f>
        <v>45967</v>
      </c>
    </row>
    <row r="21" spans="1:13" s="76" customFormat="1" ht="18" x14ac:dyDescent="0.35">
      <c r="A21" s="60">
        <f>IF(B21&lt;&gt;"",COUNTA($B$10:B21),"")</f>
        <v>12</v>
      </c>
      <c r="B21" s="61" t="str">
        <f t="shared" si="2"/>
        <v>Kertas A4 75 Gsm</v>
      </c>
      <c r="C21" s="58">
        <f t="shared" si="3"/>
        <v>1</v>
      </c>
      <c r="D21" s="58" t="str">
        <f t="shared" si="4"/>
        <v>Rim</v>
      </c>
      <c r="E21" s="59">
        <f t="shared" si="1"/>
        <v>45967</v>
      </c>
      <c r="F21" s="69" t="str">
        <f>VLOOKUP(I21,BARANGKELUAR!A3:I1048576,9,TRUE)</f>
        <v xml:space="preserve">Muhammad Muawwad MS S.Tr.Stat </v>
      </c>
      <c r="G21" s="59" t="str">
        <f>VLOOKUP(I21,BARANGKELUAR!$A$3:$J$1048576,10,TRUE)</f>
        <v>IPDS</v>
      </c>
      <c r="H21" s="59"/>
      <c r="I21" s="62">
        <v>250</v>
      </c>
      <c r="J21" s="73" t="str">
        <f>VLOOKUP(I21,BARANGKELUAR!A3:I1048576,5,TRUE)</f>
        <v>Kertas A4 75 Gsm</v>
      </c>
      <c r="K21" s="57">
        <f>VLOOKUP(I21,BARANGKELUAR!A3:I1048576,8,TRUE)</f>
        <v>1</v>
      </c>
      <c r="L21" s="57" t="str">
        <f>VLOOKUP(I21,BARANGKELUAR!A3:I1048576,6,TRUE)</f>
        <v>Rim</v>
      </c>
      <c r="M21" s="75">
        <f>VLOOKUP(I21,BARANGKELUAR!A3:J1048576,3,FALSE)</f>
        <v>45967</v>
      </c>
    </row>
    <row r="22" spans="1:13" s="76" customFormat="1" ht="18" x14ac:dyDescent="0.35">
      <c r="A22" s="60">
        <f>IF(B22&lt;&gt;"",COUNTA($B$10:B22),"")</f>
        <v>13</v>
      </c>
      <c r="B22" s="61" t="str">
        <f t="shared" si="2"/>
        <v>Kertas A4 75 Gsm</v>
      </c>
      <c r="C22" s="58">
        <f t="shared" si="3"/>
        <v>1</v>
      </c>
      <c r="D22" s="58" t="str">
        <f t="shared" si="4"/>
        <v>Rim</v>
      </c>
      <c r="E22" s="59">
        <f t="shared" si="1"/>
        <v>45967</v>
      </c>
      <c r="F22" s="69" t="str">
        <f>VLOOKUP(I22,BARANGKELUAR!A3:I1048576,9,TRUE)</f>
        <v>Achmad Syahrul Ramadhani, A.Md</v>
      </c>
      <c r="G22" s="59" t="str">
        <f>VLOOKUP(I22,BARANGKELUAR!$A$3:$J$1048576,10,TRUE)</f>
        <v>SOSIAL</v>
      </c>
      <c r="H22" s="59"/>
      <c r="I22" s="62">
        <v>251</v>
      </c>
      <c r="J22" s="73" t="str">
        <f>VLOOKUP(I22,BARANGKELUAR!A3:I1048576,5,TRUE)</f>
        <v>Kertas A4 75 Gsm</v>
      </c>
      <c r="K22" s="57">
        <f>VLOOKUP(I22,BARANGKELUAR!A3:I1048576,8,TRUE)</f>
        <v>1</v>
      </c>
      <c r="L22" s="57" t="str">
        <f>VLOOKUP(I22,BARANGKELUAR!A3:I1048576,6,TRUE)</f>
        <v>Rim</v>
      </c>
      <c r="M22" s="75">
        <f>VLOOKUP(I22,BARANGKELUAR!A3:J1048576,3,FALSE)</f>
        <v>45967</v>
      </c>
    </row>
    <row r="23" spans="1:13" s="76" customFormat="1" ht="18" x14ac:dyDescent="0.35">
      <c r="A23" s="60" t="str">
        <f>IF(B23&lt;&gt;"",COUNTA($B$10:B23),"")</f>
        <v/>
      </c>
      <c r="B23" s="61" t="str">
        <f t="shared" si="2"/>
        <v/>
      </c>
      <c r="C23" s="58" t="str">
        <f t="shared" si="3"/>
        <v/>
      </c>
      <c r="D23" s="58" t="str">
        <f t="shared" si="4"/>
        <v/>
      </c>
      <c r="E23" s="59" t="str">
        <f t="shared" si="1"/>
        <v/>
      </c>
      <c r="F23" s="69" t="e">
        <f>VLOOKUP(I23,BARANGKELUAR!A3:I1048576,9,TRUE)</f>
        <v>#N/A</v>
      </c>
      <c r="G23" s="59" t="e">
        <f>VLOOKUP(I23,BARANGKELUAR!$A$3:$J$1048576,10,TRUE)</f>
        <v>#N/A</v>
      </c>
      <c r="H23" s="59"/>
      <c r="I23" s="62"/>
      <c r="J23" s="73" t="e">
        <f>VLOOKUP(I23,BARANGKELUAR!A3:I1048576,5,TRUE)</f>
        <v>#N/A</v>
      </c>
      <c r="K23" s="57" t="e">
        <f>VLOOKUP(I23,BARANGKELUAR!A3:I1048576,8,TRUE)</f>
        <v>#N/A</v>
      </c>
      <c r="L23" s="57" t="e">
        <f>VLOOKUP(I23,BARANGKELUAR!A3:I1048576,6,TRUE)</f>
        <v>#N/A</v>
      </c>
      <c r="M23" s="75" t="e">
        <f>VLOOKUP(I23,BARANGKELUAR!A3:J1048576,3,FALSE)</f>
        <v>#N/A</v>
      </c>
    </row>
    <row r="24" spans="1:13" s="76" customFormat="1" ht="18" x14ac:dyDescent="0.35">
      <c r="A24" s="60" t="str">
        <f>IF(B24&lt;&gt;"",COUNTA($B$10:B24),"")</f>
        <v/>
      </c>
      <c r="B24" s="61" t="str">
        <f t="shared" si="2"/>
        <v/>
      </c>
      <c r="C24" s="58" t="str">
        <f t="shared" si="3"/>
        <v/>
      </c>
      <c r="D24" s="58" t="str">
        <f t="shared" si="4"/>
        <v/>
      </c>
      <c r="E24" s="59" t="str">
        <f t="shared" si="1"/>
        <v/>
      </c>
      <c r="F24" s="69" t="e">
        <f>VLOOKUP(I24,BARANGKELUAR!A3:I1048576,9,TRUE)</f>
        <v>#N/A</v>
      </c>
      <c r="G24" s="59" t="e">
        <f>VLOOKUP(I24,BARANGKELUAR!$A$3:$J$1048576,10,TRUE)</f>
        <v>#N/A</v>
      </c>
      <c r="H24" s="59"/>
      <c r="I24" s="62"/>
      <c r="J24" s="73" t="e">
        <f>VLOOKUP(I24,BARANGKELUAR!A3:I1048576,5,TRUE)</f>
        <v>#N/A</v>
      </c>
      <c r="K24" s="57" t="e">
        <f>VLOOKUP(I24,BARANGKELUAR!A3:I1048576,8,TRUE)</f>
        <v>#N/A</v>
      </c>
      <c r="L24" s="57" t="e">
        <f>VLOOKUP(I24,BARANGKELUAR!A3:I1048576,6,TRUE)</f>
        <v>#N/A</v>
      </c>
      <c r="M24" s="75" t="e">
        <f>VLOOKUP(I24,BARANGKELUAR!A3:J1048576,3,FALSE)</f>
        <v>#N/A</v>
      </c>
    </row>
    <row r="25" spans="1:13" s="76" customFormat="1" ht="18" x14ac:dyDescent="0.35">
      <c r="A25" s="60" t="str">
        <f>IF(B25&lt;&gt;"",COUNTA($B$10:B25),"")</f>
        <v/>
      </c>
      <c r="B25" s="61" t="str">
        <f t="shared" si="2"/>
        <v/>
      </c>
      <c r="C25" s="58" t="str">
        <f t="shared" si="3"/>
        <v/>
      </c>
      <c r="D25" s="58" t="str">
        <f t="shared" si="4"/>
        <v/>
      </c>
      <c r="E25" s="59" t="str">
        <f t="shared" si="1"/>
        <v/>
      </c>
      <c r="F25" s="69" t="e">
        <f>VLOOKUP(I25,BARANGKELUAR!A3:I1048576,9,TRUE)</f>
        <v>#N/A</v>
      </c>
      <c r="G25" s="59" t="e">
        <f>VLOOKUP(I25,BARANGKELUAR!$A$3:$J$1048576,10,TRUE)</f>
        <v>#N/A</v>
      </c>
      <c r="H25" s="59"/>
      <c r="I25" s="62"/>
      <c r="J25" s="73" t="e">
        <f>VLOOKUP(I25,BARANGKELUAR!A3:I1048576,5,TRUE)</f>
        <v>#N/A</v>
      </c>
      <c r="K25" s="57" t="e">
        <f>VLOOKUP(I25,BARANGKELUAR!A3:I1048576,8,TRUE)</f>
        <v>#N/A</v>
      </c>
      <c r="L25" s="57" t="e">
        <f>VLOOKUP(I25,BARANGKELUAR!A3:I1048576,6,TRUE)</f>
        <v>#N/A</v>
      </c>
      <c r="M25" s="75" t="e">
        <f>VLOOKUP(I25,BARANGKELUAR!A3:J1048576,3,FALSE)</f>
        <v>#N/A</v>
      </c>
    </row>
    <row r="26" spans="1:13" s="76" customFormat="1" ht="18" x14ac:dyDescent="0.35">
      <c r="A26" s="60" t="str">
        <f>IF(B26&lt;&gt;"",COUNTA($B$10:B26),"")</f>
        <v/>
      </c>
      <c r="B26" s="61" t="str">
        <f t="shared" si="2"/>
        <v/>
      </c>
      <c r="C26" s="58" t="str">
        <f t="shared" si="3"/>
        <v/>
      </c>
      <c r="D26" s="58" t="str">
        <f t="shared" si="4"/>
        <v/>
      </c>
      <c r="E26" s="59" t="str">
        <f t="shared" si="1"/>
        <v/>
      </c>
      <c r="F26" s="69" t="e">
        <f>VLOOKUP(I26,BARANGKELUAR!A3:I1048576,9,TRUE)</f>
        <v>#N/A</v>
      </c>
      <c r="G26" s="59" t="e">
        <f>VLOOKUP(I26,BARANGKELUAR!$A$3:$J$1048576,10,TRUE)</f>
        <v>#N/A</v>
      </c>
      <c r="H26" s="59"/>
      <c r="I26" s="62"/>
      <c r="J26" s="73" t="e">
        <f>VLOOKUP(I26,BARANGKELUAR!A3:I1048576,5,TRUE)</f>
        <v>#N/A</v>
      </c>
      <c r="K26" s="57" t="e">
        <f>VLOOKUP(I26,BARANGKELUAR!A3:I1048576,8,TRUE)</f>
        <v>#N/A</v>
      </c>
      <c r="L26" s="57" t="e">
        <f>VLOOKUP(I26,BARANGKELUAR!A3:I1048576,6,TRUE)</f>
        <v>#N/A</v>
      </c>
      <c r="M26" s="75" t="e">
        <f>VLOOKUP(I26,BARANGKELUAR!A3:J1048576,3,FALSE)</f>
        <v>#N/A</v>
      </c>
    </row>
    <row r="27" spans="1:13" s="76" customFormat="1" ht="18" x14ac:dyDescent="0.35">
      <c r="A27" s="60" t="str">
        <f>IF(B27&lt;&gt;"",COUNTA($B$10:B27),"")</f>
        <v/>
      </c>
      <c r="B27" s="61" t="str">
        <f t="shared" si="2"/>
        <v/>
      </c>
      <c r="C27" s="58" t="str">
        <f t="shared" si="3"/>
        <v/>
      </c>
      <c r="D27" s="58" t="str">
        <f t="shared" si="4"/>
        <v/>
      </c>
      <c r="E27" s="59" t="str">
        <f t="shared" si="1"/>
        <v/>
      </c>
      <c r="F27" s="69" t="e">
        <f>VLOOKUP(I27,BARANGKELUAR!A3:I1048576,9,TRUE)</f>
        <v>#N/A</v>
      </c>
      <c r="G27" s="59" t="e">
        <f>VLOOKUP(I27,BARANGKELUAR!$A$3:$J$1048576,10,TRUE)</f>
        <v>#N/A</v>
      </c>
      <c r="H27" s="59"/>
      <c r="I27" s="62"/>
      <c r="J27" s="73" t="e">
        <f>VLOOKUP(I27,BARANGKELUAR!A3:I1048576,5,TRUE)</f>
        <v>#N/A</v>
      </c>
      <c r="K27" s="57" t="e">
        <f>VLOOKUP(I27,BARANGKELUAR!A3:I1048576,8,TRUE)</f>
        <v>#N/A</v>
      </c>
      <c r="L27" s="57" t="e">
        <f>VLOOKUP(I27,BARANGKELUAR!A3:I1048576,6,TRUE)</f>
        <v>#N/A</v>
      </c>
      <c r="M27" s="75" t="e">
        <f>VLOOKUP(I27,BARANGKELUAR!A3:J1048576,3,FALSE)</f>
        <v>#N/A</v>
      </c>
    </row>
    <row r="28" spans="1:13" s="76" customFormat="1" ht="18" x14ac:dyDescent="0.35">
      <c r="A28" s="60" t="str">
        <f>IF(B28&lt;&gt;"",COUNTA($B$10:B28),"")</f>
        <v/>
      </c>
      <c r="B28" s="61" t="str">
        <f t="shared" si="2"/>
        <v/>
      </c>
      <c r="C28" s="58" t="str">
        <f t="shared" si="3"/>
        <v/>
      </c>
      <c r="D28" s="58" t="str">
        <f t="shared" si="4"/>
        <v/>
      </c>
      <c r="E28" s="59" t="str">
        <f t="shared" si="1"/>
        <v/>
      </c>
      <c r="F28" s="69" t="e">
        <f>VLOOKUP(I28,BARANGKELUAR!A3:I1048576,9,TRUE)</f>
        <v>#N/A</v>
      </c>
      <c r="G28" s="59" t="e">
        <f>VLOOKUP(I28,BARANGKELUAR!$A$3:$J$1048576,10,TRUE)</f>
        <v>#N/A</v>
      </c>
      <c r="H28" s="59"/>
      <c r="I28" s="62"/>
      <c r="J28" s="73" t="e">
        <f>VLOOKUP(I28,BARANGKELUAR!A3:I1048576,5,TRUE)</f>
        <v>#N/A</v>
      </c>
      <c r="K28" s="57" t="e">
        <f>VLOOKUP(I28,BARANGKELUAR!A3:I1048576,8,TRUE)</f>
        <v>#N/A</v>
      </c>
      <c r="L28" s="57" t="e">
        <f>VLOOKUP(I28,BARANGKELUAR!A3:I1048576,6,TRUE)</f>
        <v>#N/A</v>
      </c>
      <c r="M28" s="75" t="e">
        <f>VLOOKUP(I28,BARANGKELUAR!A3:J1048576,3,FALSE)</f>
        <v>#N/A</v>
      </c>
    </row>
    <row r="29" spans="1:13" s="76" customFormat="1" ht="18" x14ac:dyDescent="0.35">
      <c r="A29" s="60" t="str">
        <f>IF(B29&lt;&gt;"",COUNTA($B$10:B29),"")</f>
        <v/>
      </c>
      <c r="B29" s="61" t="str">
        <f t="shared" si="2"/>
        <v/>
      </c>
      <c r="C29" s="58" t="str">
        <f t="shared" si="3"/>
        <v/>
      </c>
      <c r="D29" s="58" t="str">
        <f t="shared" si="4"/>
        <v/>
      </c>
      <c r="E29" s="59" t="str">
        <f t="shared" si="1"/>
        <v/>
      </c>
      <c r="F29" s="69" t="e">
        <f>VLOOKUP(I29,BARANGKELUAR!A3:I1048576,9,TRUE)</f>
        <v>#N/A</v>
      </c>
      <c r="G29" s="59" t="e">
        <f>VLOOKUP(I29,BARANGKELUAR!$A$3:$J$1048576,10,TRUE)</f>
        <v>#N/A</v>
      </c>
      <c r="H29" s="59"/>
      <c r="I29" s="62"/>
      <c r="J29" s="73" t="e">
        <f>VLOOKUP(I29,BARANGKELUAR!A3:I1048576,5,TRUE)</f>
        <v>#N/A</v>
      </c>
      <c r="K29" s="57" t="e">
        <f>VLOOKUP(I29,BARANGKELUAR!A3:I1048576,8,TRUE)</f>
        <v>#N/A</v>
      </c>
      <c r="L29" s="57" t="e">
        <f>VLOOKUP(I29,BARANGKELUAR!A3:I1048576,6,TRUE)</f>
        <v>#N/A</v>
      </c>
      <c r="M29" s="75" t="e">
        <f>VLOOKUP(I29,BARANGKELUAR!A3:J1048576,3,FALSE)</f>
        <v>#N/A</v>
      </c>
    </row>
    <row r="30" spans="1:13" s="76" customFormat="1" ht="18" x14ac:dyDescent="0.35">
      <c r="A30" s="60" t="str">
        <f>IF(B30&lt;&gt;"",COUNTA($B$10:B30),"")</f>
        <v/>
      </c>
      <c r="B30" s="61" t="str">
        <f t="shared" si="2"/>
        <v/>
      </c>
      <c r="C30" s="58" t="str">
        <f t="shared" si="3"/>
        <v/>
      </c>
      <c r="D30" s="58" t="str">
        <f t="shared" si="4"/>
        <v/>
      </c>
      <c r="E30" s="59" t="str">
        <f t="shared" si="1"/>
        <v/>
      </c>
      <c r="F30" s="69" t="e">
        <f>VLOOKUP(I30,BARANGKELUAR!A3:I1048576,9,TRUE)</f>
        <v>#N/A</v>
      </c>
      <c r="G30" s="59" t="e">
        <f>VLOOKUP(I30,BARANGKELUAR!$A$3:$J$1048576,10,TRUE)</f>
        <v>#N/A</v>
      </c>
      <c r="H30" s="59"/>
      <c r="I30" s="62"/>
      <c r="J30" s="73" t="e">
        <f>VLOOKUP(I30,BARANGKELUAR!A3:I1048576,5,TRUE)</f>
        <v>#N/A</v>
      </c>
      <c r="K30" s="57" t="e">
        <f>VLOOKUP(I30,BARANGKELUAR!A3:I1048576,8,TRUE)</f>
        <v>#N/A</v>
      </c>
      <c r="L30" s="57" t="e">
        <f>VLOOKUP(I30,BARANGKELUAR!A3:I1048576,6,TRUE)</f>
        <v>#N/A</v>
      </c>
      <c r="M30" s="75" t="e">
        <f>VLOOKUP(I30,BARANGKELUAR!A3:J1048576,3,FALSE)</f>
        <v>#N/A</v>
      </c>
    </row>
    <row r="31" spans="1:13" s="61" customFormat="1" ht="18" x14ac:dyDescent="0.35">
      <c r="A31" s="60" t="str">
        <f>IF(B31&lt;&gt;"",COUNTA($B$10:B31),"")</f>
        <v/>
      </c>
      <c r="B31" s="61" t="str">
        <f t="shared" si="2"/>
        <v/>
      </c>
      <c r="C31" s="58" t="str">
        <f t="shared" si="3"/>
        <v/>
      </c>
      <c r="D31" s="58" t="str">
        <f t="shared" si="4"/>
        <v/>
      </c>
      <c r="E31" s="59" t="str">
        <f t="shared" si="1"/>
        <v/>
      </c>
      <c r="F31" s="69" t="e">
        <f>VLOOKUP(I31,BARANGKELUAR!A3:I1048576,9,TRUE)</f>
        <v>#N/A</v>
      </c>
      <c r="G31" s="59" t="e">
        <f>VLOOKUP(I31,BARANGKELUAR!$A$3:$J$1048576,10,TRUE)</f>
        <v>#N/A</v>
      </c>
      <c r="H31" s="59"/>
      <c r="I31" s="62"/>
      <c r="J31" s="73" t="e">
        <f>VLOOKUP(I31,BARANGKELUAR!A3:I1048576,5,TRUE)</f>
        <v>#N/A</v>
      </c>
      <c r="K31" s="57" t="e">
        <f>VLOOKUP(I31,BARANGKELUAR!A3:I1048576,8,TRUE)</f>
        <v>#N/A</v>
      </c>
      <c r="L31" s="57" t="e">
        <f>VLOOKUP(I31,BARANGKELUAR!A3:I1048576,6,TRUE)</f>
        <v>#N/A</v>
      </c>
      <c r="M31" s="75" t="e">
        <f>VLOOKUP(I31,BARANGKELUAR!A3:J1048576,3,FALSE)</f>
        <v>#N/A</v>
      </c>
    </row>
    <row r="32" spans="1:13" s="61" customFormat="1" ht="18" x14ac:dyDescent="0.35">
      <c r="A32" s="60" t="str">
        <f>IF(B32&lt;&gt;"",COUNTA($B$10:B32),"")</f>
        <v/>
      </c>
      <c r="B32" s="61" t="str">
        <f t="shared" si="2"/>
        <v/>
      </c>
      <c r="C32" s="58" t="str">
        <f>IF(I33&gt;0,K33,"")</f>
        <v/>
      </c>
      <c r="D32" s="58" t="str">
        <f t="shared" si="4"/>
        <v/>
      </c>
      <c r="E32" s="59" t="str">
        <f t="shared" si="1"/>
        <v/>
      </c>
      <c r="F32" s="69" t="e">
        <f>VLOOKUP(I32,BARANGKELUAR!A3:I1048576,9,TRUE)</f>
        <v>#N/A</v>
      </c>
      <c r="G32" s="59" t="e">
        <f>VLOOKUP(I32,BARANGKELUAR!$A$3:$J$1048576,10,TRUE)</f>
        <v>#N/A</v>
      </c>
      <c r="H32" s="59"/>
      <c r="I32" s="62"/>
      <c r="J32" s="73" t="e">
        <f>VLOOKUP(I32,BARANGKELUAR!A3:I1048576,5,TRUE)</f>
        <v>#N/A</v>
      </c>
      <c r="K32" s="57" t="e">
        <f>VLOOKUP(I32,BARANGKELUAR!A3:I1048576,8,TRUE)</f>
        <v>#N/A</v>
      </c>
      <c r="L32" s="57" t="e">
        <f>VLOOKUP(I32,BARANGKELUAR!A3:I1048576,6,TRUE)</f>
        <v>#N/A</v>
      </c>
      <c r="M32" s="75" t="e">
        <f>VLOOKUP(I32,BARANGKELUAR!A3:J1048576,3,FALSE)</f>
        <v>#N/A</v>
      </c>
    </row>
    <row r="33" spans="1:13" s="61" customFormat="1" ht="18" x14ac:dyDescent="0.35">
      <c r="A33" s="60" t="str">
        <f>IF(B33&lt;&gt;"",COUNTA($B$10:B33),"")</f>
        <v/>
      </c>
      <c r="B33" s="61" t="str">
        <f t="shared" si="2"/>
        <v/>
      </c>
      <c r="C33" s="58" t="str">
        <f>IF(I34&gt;0,K34,"")</f>
        <v/>
      </c>
      <c r="D33" s="58" t="str">
        <f t="shared" si="4"/>
        <v/>
      </c>
      <c r="E33" s="59" t="str">
        <f t="shared" si="1"/>
        <v/>
      </c>
      <c r="F33" s="69" t="e">
        <f>VLOOKUP(I33,BARANGKELUAR!A3:I1048576,9,TRUE)</f>
        <v>#N/A</v>
      </c>
      <c r="G33" s="59" t="e">
        <f>VLOOKUP(I33,BARANGKELUAR!$A$3:$J$1048576,10,TRUE)</f>
        <v>#N/A</v>
      </c>
      <c r="H33" s="59"/>
      <c r="I33" s="62"/>
      <c r="J33" s="73" t="e">
        <f>VLOOKUP(I33,BARANGKELUAR!A3:I1048576,5,TRUE)</f>
        <v>#N/A</v>
      </c>
      <c r="K33" s="57" t="e">
        <f>VLOOKUP(I33,BARANGKELUAR!A3:I1048576,8,TRUE)</f>
        <v>#N/A</v>
      </c>
      <c r="L33" s="57" t="e">
        <f>VLOOKUP(I33,BARANGKELUAR!A3:I1048576,6,TRUE)</f>
        <v>#N/A</v>
      </c>
      <c r="M33" s="75" t="e">
        <f>VLOOKUP(I33,BARANGKELUAR!A3:J1048576,3,FALSE)</f>
        <v>#N/A</v>
      </c>
    </row>
    <row r="34" spans="1:13" s="61" customFormat="1" ht="18" x14ac:dyDescent="0.35">
      <c r="A34" s="60" t="str">
        <f>IF(B34&lt;&gt;"",COUNTA($B$10:B34),"")</f>
        <v/>
      </c>
      <c r="B34" s="61" t="str">
        <f t="shared" ref="B34:B51" si="5">IF(I34&gt;0,J34,"")</f>
        <v/>
      </c>
      <c r="C34" s="58" t="str">
        <f t="shared" ref="C34:C51" si="6">IF(I34&gt;0,K34,"")</f>
        <v/>
      </c>
      <c r="D34" s="58" t="str">
        <f t="shared" ref="D34:D51" si="7">IF(I34&gt;0,L34,"")</f>
        <v/>
      </c>
      <c r="E34" s="59" t="str">
        <f t="shared" ref="E34:E51" si="8">IF(I34&gt;0,M34,"")</f>
        <v/>
      </c>
      <c r="F34" s="69" t="e">
        <f>VLOOKUP(I34,BARANGKELUAR!A3:I1048576,9,TRUE)</f>
        <v>#N/A</v>
      </c>
      <c r="G34" s="59" t="e">
        <f>VLOOKUP(I34,BARANGKELUAR!$A$3:$J$1048576,10,TRUE)</f>
        <v>#N/A</v>
      </c>
      <c r="H34" s="59"/>
      <c r="I34" s="62"/>
      <c r="J34" s="73" t="e">
        <f>VLOOKUP(I34,BARANGKELUAR!A3:I1048576,5,TRUE)</f>
        <v>#N/A</v>
      </c>
      <c r="K34" s="57" t="e">
        <f>VLOOKUP(I34,BARANGKELUAR!A3:I1048576,8,TRUE)</f>
        <v>#N/A</v>
      </c>
      <c r="L34" s="57" t="e">
        <f>VLOOKUP(I34,BARANGKELUAR!A3:I1048576,6,TRUE)</f>
        <v>#N/A</v>
      </c>
      <c r="M34" s="75" t="e">
        <f>VLOOKUP(I34,BARANGKELUAR!A3:J1048576,3,FALSE)</f>
        <v>#N/A</v>
      </c>
    </row>
    <row r="35" spans="1:13" s="61" customFormat="1" ht="18" x14ac:dyDescent="0.35">
      <c r="A35" s="60" t="str">
        <f>IF(B35&lt;&gt;"",COUNTA($B$10:B35),"")</f>
        <v/>
      </c>
      <c r="B35" s="61" t="str">
        <f t="shared" si="5"/>
        <v/>
      </c>
      <c r="C35" s="58" t="str">
        <f t="shared" si="6"/>
        <v/>
      </c>
      <c r="D35" s="58" t="str">
        <f t="shared" si="7"/>
        <v/>
      </c>
      <c r="E35" s="59" t="str">
        <f t="shared" si="8"/>
        <v/>
      </c>
      <c r="F35" s="69" t="e">
        <f>VLOOKUP(I35,BARANGKELUAR!A3:I1048576,9,TRUE)</f>
        <v>#N/A</v>
      </c>
      <c r="G35" s="59" t="e">
        <f>VLOOKUP(I35,BARANGKELUAR!$A$3:$J$1048576,10,TRUE)</f>
        <v>#N/A</v>
      </c>
      <c r="H35" s="59"/>
      <c r="I35" s="62"/>
      <c r="J35" s="73" t="e">
        <f>VLOOKUP(I35,BARANGKELUAR!A3:I1048576,5,TRUE)</f>
        <v>#N/A</v>
      </c>
      <c r="K35" s="57" t="e">
        <f>VLOOKUP(I35,BARANGKELUAR!A3:I1048576,8,TRUE)</f>
        <v>#N/A</v>
      </c>
      <c r="L35" s="57" t="e">
        <f>VLOOKUP(I35,BARANGKELUAR!A3:I1048576,6,TRUE)</f>
        <v>#N/A</v>
      </c>
      <c r="M35" s="75" t="e">
        <f>VLOOKUP(I35,BARANGKELUAR!A3:J1048576,3,FALSE)</f>
        <v>#N/A</v>
      </c>
    </row>
    <row r="36" spans="1:13" s="61" customFormat="1" ht="18" x14ac:dyDescent="0.35">
      <c r="A36" s="60" t="str">
        <f>IF(B36&lt;&gt;"",COUNTA($B$10:B36),"")</f>
        <v/>
      </c>
      <c r="B36" s="61" t="str">
        <f t="shared" si="5"/>
        <v/>
      </c>
      <c r="C36" s="58" t="str">
        <f t="shared" si="6"/>
        <v/>
      </c>
      <c r="D36" s="58" t="str">
        <f t="shared" si="7"/>
        <v/>
      </c>
      <c r="E36" s="59" t="str">
        <f t="shared" si="8"/>
        <v/>
      </c>
      <c r="F36" s="69" t="e">
        <f>VLOOKUP(I36,BARANGKELUAR!A3:I1048576,9,TRUE)</f>
        <v>#N/A</v>
      </c>
      <c r="G36" s="59" t="e">
        <f>VLOOKUP(I36,BARANGKELUAR!$A$3:$J$1048576,10,TRUE)</f>
        <v>#N/A</v>
      </c>
      <c r="H36" s="59"/>
      <c r="I36" s="62"/>
      <c r="J36" s="73" t="e">
        <f>VLOOKUP(I36,BARANGKELUAR!A3:I1048576,5,TRUE)</f>
        <v>#N/A</v>
      </c>
      <c r="K36" s="57" t="e">
        <f>VLOOKUP(I36,BARANGKELUAR!A3:I1048576,8,TRUE)</f>
        <v>#N/A</v>
      </c>
      <c r="L36" s="57" t="e">
        <f>VLOOKUP(I36,BARANGKELUAR!A3:I1048576,6,TRUE)</f>
        <v>#N/A</v>
      </c>
      <c r="M36" s="75" t="e">
        <f>VLOOKUP(I36,BARANGKELUAR!A3:J1048576,3,FALSE)</f>
        <v>#N/A</v>
      </c>
    </row>
    <row r="37" spans="1:13" s="61" customFormat="1" ht="18" x14ac:dyDescent="0.35">
      <c r="A37" s="60" t="str">
        <f>IF(B37&lt;&gt;"",COUNTA($B$10:B37),"")</f>
        <v/>
      </c>
      <c r="B37" s="61" t="str">
        <f t="shared" si="5"/>
        <v/>
      </c>
      <c r="C37" s="58" t="str">
        <f t="shared" si="6"/>
        <v/>
      </c>
      <c r="D37" s="58" t="str">
        <f t="shared" si="7"/>
        <v/>
      </c>
      <c r="E37" s="59" t="str">
        <f t="shared" si="8"/>
        <v/>
      </c>
      <c r="F37" s="69" t="e">
        <f>VLOOKUP(I37,BARANGKELUAR!A3:I1048576,9,TRUE)</f>
        <v>#N/A</v>
      </c>
      <c r="G37" s="59" t="e">
        <f>VLOOKUP(I37,BARANGKELUAR!$A$3:$J$1048576,10,TRUE)</f>
        <v>#N/A</v>
      </c>
      <c r="H37" s="59"/>
      <c r="I37" s="62"/>
      <c r="J37" s="73" t="e">
        <f>VLOOKUP(I37,BARANGKELUAR!A3:I1048576,5,TRUE)</f>
        <v>#N/A</v>
      </c>
      <c r="K37" s="57" t="e">
        <f>VLOOKUP(I37,BARANGKELUAR!A3:I1048576,8,TRUE)</f>
        <v>#N/A</v>
      </c>
      <c r="L37" s="57" t="e">
        <f>VLOOKUP(I37,BARANGKELUAR!A3:I1048576,6,TRUE)</f>
        <v>#N/A</v>
      </c>
      <c r="M37" s="75" t="e">
        <f>VLOOKUP(I37,BARANGKELUAR!A3:J1048576,3,FALSE)</f>
        <v>#N/A</v>
      </c>
    </row>
    <row r="38" spans="1:13" s="61" customFormat="1" ht="18" x14ac:dyDescent="0.35">
      <c r="A38" s="60" t="str">
        <f>IF(B38&lt;&gt;"",COUNTA($B$10:B38),"")</f>
        <v/>
      </c>
      <c r="B38" s="61" t="str">
        <f t="shared" si="5"/>
        <v/>
      </c>
      <c r="C38" s="58" t="str">
        <f t="shared" si="6"/>
        <v/>
      </c>
      <c r="D38" s="58" t="str">
        <f t="shared" si="7"/>
        <v/>
      </c>
      <c r="E38" s="59" t="str">
        <f t="shared" si="8"/>
        <v/>
      </c>
      <c r="F38" s="69" t="e">
        <f>VLOOKUP(I38,BARANGKELUAR!A3:I1048576,9,TRUE)</f>
        <v>#N/A</v>
      </c>
      <c r="G38" s="59" t="e">
        <f>VLOOKUP(I38,BARANGKELUAR!$A$3:$J$1048576,10,TRUE)</f>
        <v>#N/A</v>
      </c>
      <c r="H38" s="59"/>
      <c r="I38" s="62"/>
      <c r="J38" s="73" t="e">
        <f>VLOOKUP(I38,BARANGKELUAR!A3:I1048576,5,TRUE)</f>
        <v>#N/A</v>
      </c>
      <c r="K38" s="57" t="e">
        <f>VLOOKUP(I38,BARANGKELUAR!A3:I1048576,8,TRUE)</f>
        <v>#N/A</v>
      </c>
      <c r="L38" s="57" t="e">
        <f>VLOOKUP(I38,BARANGKELUAR!A3:I1048576,6,TRUE)</f>
        <v>#N/A</v>
      </c>
      <c r="M38" s="75" t="e">
        <f>VLOOKUP(I38,BARANGKELUAR!A3:J1048576,3,FALSE)</f>
        <v>#N/A</v>
      </c>
    </row>
    <row r="39" spans="1:13" s="61" customFormat="1" ht="18" x14ac:dyDescent="0.35">
      <c r="A39" s="60" t="str">
        <f>IF(B39&lt;&gt;"",COUNTA($B$10:B39),"")</f>
        <v/>
      </c>
      <c r="B39" s="61" t="str">
        <f t="shared" si="5"/>
        <v/>
      </c>
      <c r="C39" s="58" t="str">
        <f t="shared" si="6"/>
        <v/>
      </c>
      <c r="D39" s="58" t="str">
        <f t="shared" si="7"/>
        <v/>
      </c>
      <c r="E39" s="59" t="str">
        <f t="shared" si="8"/>
        <v/>
      </c>
      <c r="F39" s="69" t="e">
        <f>VLOOKUP(I39,BARANGKELUAR!A3:I1048576,9,TRUE)</f>
        <v>#N/A</v>
      </c>
      <c r="G39" s="59" t="e">
        <f>VLOOKUP(I39,BARANGKELUAR!$A$3:$J$1048576,10,TRUE)</f>
        <v>#N/A</v>
      </c>
      <c r="H39" s="59"/>
      <c r="I39" s="62"/>
      <c r="J39" s="73" t="e">
        <f>VLOOKUP(I39,BARANGKELUAR!A3:I1048576,5,TRUE)</f>
        <v>#N/A</v>
      </c>
      <c r="K39" s="57" t="e">
        <f>VLOOKUP(I39,BARANGKELUAR!A3:I1048576,8,TRUE)</f>
        <v>#N/A</v>
      </c>
      <c r="L39" s="57" t="e">
        <f>VLOOKUP(I39,BARANGKELUAR!A3:I1048576,6,TRUE)</f>
        <v>#N/A</v>
      </c>
      <c r="M39" s="75" t="e">
        <f>VLOOKUP(I39,BARANGKELUAR!A3:J1048576,3,FALSE)</f>
        <v>#N/A</v>
      </c>
    </row>
    <row r="40" spans="1:13" s="61" customFormat="1" ht="18" x14ac:dyDescent="0.35">
      <c r="A40" s="60" t="str">
        <f>IF(B40&lt;&gt;"",COUNTA($B$10:B40),"")</f>
        <v/>
      </c>
      <c r="B40" s="61" t="str">
        <f t="shared" si="5"/>
        <v/>
      </c>
      <c r="C40" s="58" t="str">
        <f t="shared" si="6"/>
        <v/>
      </c>
      <c r="D40" s="58" t="str">
        <f t="shared" si="7"/>
        <v/>
      </c>
      <c r="E40" s="59" t="str">
        <f t="shared" si="8"/>
        <v/>
      </c>
      <c r="F40" s="69" t="e">
        <f>VLOOKUP(I40,BARANGKELUAR!A3:I1048576,9,TRUE)</f>
        <v>#N/A</v>
      </c>
      <c r="G40" s="59" t="e">
        <f>VLOOKUP(I40,BARANGKELUAR!$A$3:$J$1048576,10,TRUE)</f>
        <v>#N/A</v>
      </c>
      <c r="H40" s="59"/>
      <c r="I40" s="62"/>
      <c r="J40" s="73" t="e">
        <f>VLOOKUP(I40,BARANGKELUAR!A3:I1048576,5,TRUE)</f>
        <v>#N/A</v>
      </c>
      <c r="K40" s="57" t="e">
        <f>VLOOKUP(I40,BARANGKELUAR!A3:I1048576,8,TRUE)</f>
        <v>#N/A</v>
      </c>
      <c r="L40" s="57" t="e">
        <f>VLOOKUP(I40,BARANGKELUAR!A3:I1048576,6,TRUE)</f>
        <v>#N/A</v>
      </c>
      <c r="M40" s="75" t="e">
        <f>VLOOKUP(I40,BARANGKELUAR!A3:J1048576,3,FALSE)</f>
        <v>#N/A</v>
      </c>
    </row>
    <row r="41" spans="1:13" s="61" customFormat="1" ht="18" x14ac:dyDescent="0.35">
      <c r="A41" s="60" t="str">
        <f>IF(B41&lt;&gt;"",COUNTA($B$10:B41),"")</f>
        <v/>
      </c>
      <c r="B41" s="61" t="str">
        <f t="shared" si="5"/>
        <v/>
      </c>
      <c r="C41" s="58" t="str">
        <f t="shared" si="6"/>
        <v/>
      </c>
      <c r="D41" s="58" t="str">
        <f t="shared" si="7"/>
        <v/>
      </c>
      <c r="E41" s="59" t="str">
        <f t="shared" si="8"/>
        <v/>
      </c>
      <c r="F41" s="69" t="e">
        <f>VLOOKUP(I41,BARANGKELUAR!A3:I1048576,9,TRUE)</f>
        <v>#N/A</v>
      </c>
      <c r="G41" s="59" t="e">
        <f>VLOOKUP(I41,BARANGKELUAR!$A$3:$J$1048576,10,TRUE)</f>
        <v>#N/A</v>
      </c>
      <c r="H41" s="59"/>
      <c r="I41" s="62"/>
      <c r="J41" s="73" t="e">
        <f>VLOOKUP(I41,BARANGKELUAR!A3:I1048576,5,TRUE)</f>
        <v>#N/A</v>
      </c>
      <c r="K41" s="57" t="e">
        <f>VLOOKUP(I41,BARANGKELUAR!A3:I1048576,8,TRUE)</f>
        <v>#N/A</v>
      </c>
      <c r="L41" s="57" t="e">
        <f>VLOOKUP(I41,BARANGKELUAR!A3:I1048576,6,TRUE)</f>
        <v>#N/A</v>
      </c>
      <c r="M41" s="75" t="e">
        <f>VLOOKUP(I41,BARANGKELUAR!A3:J1048576,3,FALSE)</f>
        <v>#N/A</v>
      </c>
    </row>
    <row r="42" spans="1:13" s="61" customFormat="1" ht="18" x14ac:dyDescent="0.35">
      <c r="A42" s="60" t="str">
        <f>IF(B42&lt;&gt;"",COUNTA($B$10:B42),"")</f>
        <v/>
      </c>
      <c r="B42" s="61" t="str">
        <f t="shared" si="5"/>
        <v/>
      </c>
      <c r="C42" s="58" t="str">
        <f t="shared" si="6"/>
        <v/>
      </c>
      <c r="D42" s="58" t="str">
        <f t="shared" si="7"/>
        <v/>
      </c>
      <c r="E42" s="59" t="str">
        <f t="shared" si="8"/>
        <v/>
      </c>
      <c r="F42" s="69" t="e">
        <f>VLOOKUP(I42,BARANGKELUAR!A3:I1048576,9,TRUE)</f>
        <v>#N/A</v>
      </c>
      <c r="G42" s="59" t="e">
        <f>VLOOKUP(I42,BARANGKELUAR!$A$3:$J$1048576,10,TRUE)</f>
        <v>#N/A</v>
      </c>
      <c r="H42" s="59"/>
      <c r="I42" s="62"/>
      <c r="J42" s="73" t="e">
        <f>VLOOKUP(I42,BARANGKELUAR!A3:I1048576,5,TRUE)</f>
        <v>#N/A</v>
      </c>
      <c r="K42" s="57" t="e">
        <f>VLOOKUP(I42,BARANGKELUAR!A3:I1048576,8,TRUE)</f>
        <v>#N/A</v>
      </c>
      <c r="L42" s="57" t="e">
        <f>VLOOKUP(I42,BARANGKELUAR!A3:I1048576,6,TRUE)</f>
        <v>#N/A</v>
      </c>
      <c r="M42" s="75" t="e">
        <f>VLOOKUP(I42,BARANGKELUAR!A3:J1048576,3,FALSE)</f>
        <v>#N/A</v>
      </c>
    </row>
    <row r="43" spans="1:13" s="61" customFormat="1" ht="18" x14ac:dyDescent="0.35">
      <c r="A43" s="60" t="str">
        <f>IF(B43&lt;&gt;"",COUNTA($B$10:B43),"")</f>
        <v/>
      </c>
      <c r="B43" s="61" t="str">
        <f t="shared" si="5"/>
        <v/>
      </c>
      <c r="C43" s="58" t="str">
        <f t="shared" si="6"/>
        <v/>
      </c>
      <c r="D43" s="58" t="str">
        <f t="shared" si="7"/>
        <v/>
      </c>
      <c r="E43" s="59" t="str">
        <f t="shared" si="8"/>
        <v/>
      </c>
      <c r="F43" s="69" t="e">
        <f>VLOOKUP(I43,BARANGKELUAR!A3:I1048576,9,TRUE)</f>
        <v>#N/A</v>
      </c>
      <c r="G43" s="59" t="e">
        <f>VLOOKUP(I43,BARANGKELUAR!$A$3:$J$1048576,10,TRUE)</f>
        <v>#N/A</v>
      </c>
      <c r="H43" s="59"/>
      <c r="I43" s="62"/>
      <c r="J43" s="73" t="e">
        <f>VLOOKUP(I43,BARANGKELUAR!A3:I1048576,5,TRUE)</f>
        <v>#N/A</v>
      </c>
      <c r="K43" s="57" t="e">
        <f>VLOOKUP(I43,BARANGKELUAR!A3:I1048576,8,TRUE)</f>
        <v>#N/A</v>
      </c>
      <c r="L43" s="57" t="e">
        <f>VLOOKUP(I43,BARANGKELUAR!A3:I1048576,6,TRUE)</f>
        <v>#N/A</v>
      </c>
      <c r="M43" s="75" t="e">
        <f>VLOOKUP(I43,BARANGKELUAR!A3:J1048576,3,FALSE)</f>
        <v>#N/A</v>
      </c>
    </row>
    <row r="44" spans="1:13" s="61" customFormat="1" ht="18" x14ac:dyDescent="0.35">
      <c r="A44" s="60" t="str">
        <f>IF(B44&lt;&gt;"",COUNTA($B$10:B44),"")</f>
        <v/>
      </c>
      <c r="B44" s="61" t="str">
        <f t="shared" si="5"/>
        <v/>
      </c>
      <c r="C44" s="58" t="str">
        <f t="shared" si="6"/>
        <v/>
      </c>
      <c r="D44" s="58" t="str">
        <f t="shared" si="7"/>
        <v/>
      </c>
      <c r="E44" s="59" t="str">
        <f t="shared" si="8"/>
        <v/>
      </c>
      <c r="F44" s="69" t="e">
        <f>VLOOKUP(I44,BARANGKELUAR!A3:I1048576,9,TRUE)</f>
        <v>#N/A</v>
      </c>
      <c r="G44" s="59" t="e">
        <f>VLOOKUP(I44,BARANGKELUAR!$A$3:$J$1048576,10,TRUE)</f>
        <v>#N/A</v>
      </c>
      <c r="H44" s="59"/>
      <c r="I44" s="62"/>
      <c r="J44" s="73" t="e">
        <f>VLOOKUP(I44,BARANGKELUAR!A3:I1048576,5,TRUE)</f>
        <v>#N/A</v>
      </c>
      <c r="K44" s="57" t="e">
        <f>VLOOKUP(I44,BARANGKELUAR!A3:I1048576,8,TRUE)</f>
        <v>#N/A</v>
      </c>
      <c r="L44" s="57" t="e">
        <f>VLOOKUP(I44,BARANGKELUAR!A3:I1048576,6,TRUE)</f>
        <v>#N/A</v>
      </c>
      <c r="M44" s="75" t="e">
        <f>VLOOKUP(I44,BARANGKELUAR!A3:J1048576,3,FALSE)</f>
        <v>#N/A</v>
      </c>
    </row>
    <row r="45" spans="1:13" s="61" customFormat="1" ht="18" x14ac:dyDescent="0.35">
      <c r="A45" s="60" t="str">
        <f>IF(B45&lt;&gt;"",COUNTA($B$10:B45),"")</f>
        <v/>
      </c>
      <c r="B45" s="61" t="str">
        <f t="shared" si="5"/>
        <v/>
      </c>
      <c r="C45" s="58" t="str">
        <f t="shared" si="6"/>
        <v/>
      </c>
      <c r="D45" s="58" t="str">
        <f t="shared" si="7"/>
        <v/>
      </c>
      <c r="E45" s="59" t="str">
        <f t="shared" si="8"/>
        <v/>
      </c>
      <c r="F45" s="69" t="e">
        <f>VLOOKUP(I45,BARANGKELUAR!A3:I1048576,9,TRUE)</f>
        <v>#N/A</v>
      </c>
      <c r="G45" s="59" t="e">
        <f>VLOOKUP(I45,BARANGKELUAR!$A$3:$J$1048576,10,TRUE)</f>
        <v>#N/A</v>
      </c>
      <c r="H45" s="59"/>
      <c r="I45" s="62"/>
      <c r="J45" s="73" t="e">
        <f>VLOOKUP(I45,BARANGKELUAR!A3:I1048576,5,TRUE)</f>
        <v>#N/A</v>
      </c>
      <c r="K45" s="57" t="e">
        <f>VLOOKUP(I45,BARANGKELUAR!A3:I1048576,8,TRUE)</f>
        <v>#N/A</v>
      </c>
      <c r="L45" s="57" t="e">
        <f>VLOOKUP(I45,BARANGKELUAR!A3:I1048576,6,TRUE)</f>
        <v>#N/A</v>
      </c>
      <c r="M45" s="75" t="e">
        <f>VLOOKUP(I45,BARANGKELUAR!A3:J1048576,3,FALSE)</f>
        <v>#N/A</v>
      </c>
    </row>
    <row r="46" spans="1:13" s="61" customFormat="1" ht="18" x14ac:dyDescent="0.35">
      <c r="A46" s="60" t="str">
        <f>IF(B46&lt;&gt;"",COUNTA($B$10:B46),"")</f>
        <v/>
      </c>
      <c r="B46" s="61" t="str">
        <f t="shared" si="5"/>
        <v/>
      </c>
      <c r="C46" s="58" t="str">
        <f t="shared" si="6"/>
        <v/>
      </c>
      <c r="D46" s="58" t="str">
        <f t="shared" si="7"/>
        <v/>
      </c>
      <c r="E46" s="59" t="str">
        <f t="shared" si="8"/>
        <v/>
      </c>
      <c r="F46" s="69" t="e">
        <f>VLOOKUP(I46,BARANGKELUAR!A3:I1048576,9,TRUE)</f>
        <v>#N/A</v>
      </c>
      <c r="G46" s="59" t="e">
        <f>VLOOKUP(I46,BARANGKELUAR!$A$3:$J$1048576,10,TRUE)</f>
        <v>#N/A</v>
      </c>
      <c r="H46" s="59"/>
      <c r="I46" s="62"/>
      <c r="J46" s="73" t="e">
        <f>VLOOKUP(I46,BARANGKELUAR!A3:I1048576,5,TRUE)</f>
        <v>#N/A</v>
      </c>
      <c r="K46" s="57" t="e">
        <f>VLOOKUP(I46,BARANGKELUAR!A3:I1048576,8,TRUE)</f>
        <v>#N/A</v>
      </c>
      <c r="L46" s="57" t="e">
        <f>VLOOKUP(I46,BARANGKELUAR!A3:I1048576,6,TRUE)</f>
        <v>#N/A</v>
      </c>
      <c r="M46" s="75" t="e">
        <f>VLOOKUP(I46,BARANGKELUAR!A3:J1048576,3,FALSE)</f>
        <v>#N/A</v>
      </c>
    </row>
    <row r="47" spans="1:13" s="61" customFormat="1" ht="18" x14ac:dyDescent="0.35">
      <c r="A47" s="60" t="str">
        <f>IF(B47&lt;&gt;"",COUNTA($B$10:B47),"")</f>
        <v/>
      </c>
      <c r="B47" s="61" t="str">
        <f t="shared" si="5"/>
        <v/>
      </c>
      <c r="C47" s="58" t="str">
        <f t="shared" si="6"/>
        <v/>
      </c>
      <c r="D47" s="58" t="str">
        <f t="shared" si="7"/>
        <v/>
      </c>
      <c r="E47" s="59" t="str">
        <f t="shared" si="8"/>
        <v/>
      </c>
      <c r="F47" s="69" t="e">
        <f>VLOOKUP(I47,BARANGKELUAR!A3:I1048576,9,TRUE)</f>
        <v>#N/A</v>
      </c>
      <c r="G47" s="59" t="e">
        <f>VLOOKUP(I47,BARANGKELUAR!$A$3:$J$1048576,10,TRUE)</f>
        <v>#N/A</v>
      </c>
      <c r="H47" s="59"/>
      <c r="I47" s="62"/>
      <c r="J47" s="73" t="e">
        <f>VLOOKUP(I47,BARANGKELUAR!A3:I1048576,5,TRUE)</f>
        <v>#N/A</v>
      </c>
      <c r="K47" s="57" t="e">
        <f>VLOOKUP(I47,BARANGKELUAR!A3:I1048576,8,TRUE)</f>
        <v>#N/A</v>
      </c>
      <c r="L47" s="57" t="e">
        <f>VLOOKUP(I47,BARANGKELUAR!A3:I1048576,6,TRUE)</f>
        <v>#N/A</v>
      </c>
      <c r="M47" s="75" t="e">
        <f>VLOOKUP(I47,BARANGKELUAR!A3:J1048576,3,FALSE)</f>
        <v>#N/A</v>
      </c>
    </row>
    <row r="48" spans="1:13" s="61" customFormat="1" ht="18" x14ac:dyDescent="0.35">
      <c r="A48" s="60" t="str">
        <f>IF(B48&lt;&gt;"",COUNTA($B$10:B48),"")</f>
        <v/>
      </c>
      <c r="B48" s="61" t="str">
        <f t="shared" si="5"/>
        <v/>
      </c>
      <c r="C48" s="58" t="str">
        <f t="shared" si="6"/>
        <v/>
      </c>
      <c r="D48" s="58" t="str">
        <f t="shared" si="7"/>
        <v/>
      </c>
      <c r="E48" s="59" t="str">
        <f t="shared" si="8"/>
        <v/>
      </c>
      <c r="F48" s="69" t="e">
        <f>VLOOKUP(I48,BARANGKELUAR!A3:I1048576,9,TRUE)</f>
        <v>#N/A</v>
      </c>
      <c r="G48" s="59" t="e">
        <f>VLOOKUP(I48,BARANGKELUAR!$A$3:$J$1048576,10,TRUE)</f>
        <v>#N/A</v>
      </c>
      <c r="H48" s="59"/>
      <c r="I48" s="62"/>
      <c r="J48" s="73" t="e">
        <f>VLOOKUP(I48,BARANGKELUAR!A3:I1048576,5,TRUE)</f>
        <v>#N/A</v>
      </c>
      <c r="K48" s="57" t="e">
        <f>VLOOKUP(I48,BARANGKELUAR!A3:I1048576,8,TRUE)</f>
        <v>#N/A</v>
      </c>
      <c r="L48" s="57" t="e">
        <f>VLOOKUP(I48,BARANGKELUAR!A3:I1048576,6,TRUE)</f>
        <v>#N/A</v>
      </c>
      <c r="M48" s="75" t="e">
        <f>VLOOKUP(I48,BARANGKELUAR!A3:J1048576,3,FALSE)</f>
        <v>#N/A</v>
      </c>
    </row>
    <row r="49" spans="1:13" s="61" customFormat="1" ht="18" x14ac:dyDescent="0.35">
      <c r="A49" s="60" t="str">
        <f>IF(B49&lt;&gt;"",COUNTA($B$10:B49),"")</f>
        <v/>
      </c>
      <c r="B49" s="61" t="str">
        <f t="shared" si="5"/>
        <v/>
      </c>
      <c r="C49" s="58" t="str">
        <f t="shared" si="6"/>
        <v/>
      </c>
      <c r="D49" s="58" t="str">
        <f t="shared" si="7"/>
        <v/>
      </c>
      <c r="E49" s="59" t="str">
        <f t="shared" si="8"/>
        <v/>
      </c>
      <c r="F49" s="69" t="e">
        <f>VLOOKUP(I49,BARANGKELUAR!A3:I1048576,9,TRUE)</f>
        <v>#N/A</v>
      </c>
      <c r="G49" s="59" t="e">
        <f>VLOOKUP(I49,BARANGKELUAR!$A$3:$J$1048576,10,TRUE)</f>
        <v>#N/A</v>
      </c>
      <c r="H49" s="59"/>
      <c r="I49" s="62"/>
      <c r="J49" s="73" t="e">
        <f>VLOOKUP(I49,BARANGKELUAR!A3:I1048576,5,TRUE)</f>
        <v>#N/A</v>
      </c>
      <c r="K49" s="57" t="e">
        <f>VLOOKUP(I49,BARANGKELUAR!A3:I1048576,8,TRUE)</f>
        <v>#N/A</v>
      </c>
      <c r="L49" s="57" t="e">
        <f>VLOOKUP(I49,BARANGKELUAR!A3:I1048576,6,TRUE)</f>
        <v>#N/A</v>
      </c>
      <c r="M49" s="75" t="e">
        <f>VLOOKUP(I49,BARANGKELUAR!A3:J1048576,3,FALSE)</f>
        <v>#N/A</v>
      </c>
    </row>
    <row r="50" spans="1:13" s="61" customFormat="1" ht="18" x14ac:dyDescent="0.35">
      <c r="A50" s="60" t="str">
        <f>IF(B50&lt;&gt;"",COUNTA($B$10:B50),"")</f>
        <v/>
      </c>
      <c r="B50" s="61" t="str">
        <f t="shared" si="5"/>
        <v/>
      </c>
      <c r="C50" s="58" t="str">
        <f t="shared" si="6"/>
        <v/>
      </c>
      <c r="D50" s="58" t="str">
        <f t="shared" si="7"/>
        <v/>
      </c>
      <c r="E50" s="59" t="str">
        <f t="shared" si="8"/>
        <v/>
      </c>
      <c r="F50" s="69" t="e">
        <f>VLOOKUP(I50,BARANGKELUAR!A3:I1048576,9,TRUE)</f>
        <v>#N/A</v>
      </c>
      <c r="G50" s="59" t="e">
        <f>VLOOKUP(I50,BARANGKELUAR!$A$3:$J$1048576,10,TRUE)</f>
        <v>#N/A</v>
      </c>
      <c r="H50" s="59"/>
      <c r="I50" s="62"/>
      <c r="J50" s="73" t="e">
        <f>VLOOKUP(I50,BARANGKELUAR!A3:I1048576,5,TRUE)</f>
        <v>#N/A</v>
      </c>
      <c r="K50" s="57" t="e">
        <f>VLOOKUP(I50,BARANGKELUAR!A3:I1048576,8,TRUE)</f>
        <v>#N/A</v>
      </c>
      <c r="L50" s="57" t="e">
        <f>VLOOKUP(I50,BARANGKELUAR!A3:I1048576,6,TRUE)</f>
        <v>#N/A</v>
      </c>
      <c r="M50" s="75" t="e">
        <f>VLOOKUP(I50,BARANGKELUAR!A3:J1048576,3,FALSE)</f>
        <v>#N/A</v>
      </c>
    </row>
    <row r="51" spans="1:13" s="61" customFormat="1" ht="18" x14ac:dyDescent="0.35">
      <c r="A51" s="60" t="str">
        <f>IF(B51&lt;&gt;"",COUNTA($B$10:B51),"")</f>
        <v/>
      </c>
      <c r="B51" s="61" t="str">
        <f t="shared" si="5"/>
        <v/>
      </c>
      <c r="C51" s="58" t="str">
        <f t="shared" si="6"/>
        <v/>
      </c>
      <c r="D51" s="58" t="str">
        <f t="shared" si="7"/>
        <v/>
      </c>
      <c r="E51" s="59" t="str">
        <f t="shared" si="8"/>
        <v/>
      </c>
      <c r="F51" s="69" t="e">
        <f>VLOOKUP(I51,BARANGKELUAR!A3:I1048576,9,TRUE)</f>
        <v>#N/A</v>
      </c>
      <c r="G51" s="59" t="e">
        <f>VLOOKUP(I51,BARANGKELUAR!$A$3:$J$1048576,10,TRUE)</f>
        <v>#N/A</v>
      </c>
      <c r="H51" s="59"/>
      <c r="I51" s="62"/>
      <c r="J51" s="73" t="e">
        <f>VLOOKUP(I52,BARANGKELUAR!A3:I1048576,5,TRUE)</f>
        <v>#N/A</v>
      </c>
      <c r="K51" s="57" t="e">
        <f>VLOOKUP(I51,BARANGKELUAR!A3:I1048576,8,TRUE)</f>
        <v>#N/A</v>
      </c>
      <c r="L51" s="57" t="e">
        <f>VLOOKUP(I51,BARANGKELUAR!A3:I1048576,6,TRUE)</f>
        <v>#N/A</v>
      </c>
      <c r="M51" s="75" t="e">
        <f>VLOOKUP(I51,BARANGKELUAR!A3:J1048576,3,FALSE)</f>
        <v>#N/A</v>
      </c>
    </row>
    <row r="52" spans="1:13" s="61" customFormat="1" ht="18" x14ac:dyDescent="0.35">
      <c r="A52" s="60" t="str">
        <f>IF(B52&lt;&gt;"",COUNTA($B$10:B52),"")</f>
        <v/>
      </c>
      <c r="B52" s="61" t="str">
        <f t="shared" ref="B52:B56" si="9">IF(I52&gt;0,J52,"")</f>
        <v/>
      </c>
      <c r="C52" s="58" t="str">
        <f t="shared" ref="C52:C56" si="10">IF(I52&gt;0,K52,"")</f>
        <v/>
      </c>
      <c r="D52" s="58" t="str">
        <f t="shared" ref="D52:D56" si="11">IF(I52&gt;0,L52,"")</f>
        <v/>
      </c>
      <c r="E52" s="59" t="str">
        <f t="shared" ref="E52:E56" si="12">IF(I52&gt;0,M52,"")</f>
        <v/>
      </c>
      <c r="F52" s="69" t="e">
        <f>VLOOKUP(I52,BARANGKELUAR!A3:I1048576,9,TRUE)</f>
        <v>#N/A</v>
      </c>
      <c r="G52" s="59" t="e">
        <f>VLOOKUP(I52,BARANGKELUAR!$A$3:$J$1048576,10,TRUE)</f>
        <v>#N/A</v>
      </c>
      <c r="H52" s="59"/>
      <c r="I52" s="62"/>
      <c r="J52" s="73" t="e">
        <f>VLOOKUP(I53,BARANGKELUAR!A3:I1048576,5,TRUE)</f>
        <v>#N/A</v>
      </c>
      <c r="K52" s="57" t="e">
        <f>VLOOKUP(I52,BARANGKELUAR!A3:I1048576,8,TRUE)</f>
        <v>#N/A</v>
      </c>
      <c r="L52" s="57" t="e">
        <f>VLOOKUP(I52,BARANGKELUAR!A3:I1048576,6,TRUE)</f>
        <v>#N/A</v>
      </c>
      <c r="M52" s="75" t="e">
        <f>VLOOKUP(I52,BARANGKELUAR!A3:J1048576,3,FALSE)</f>
        <v>#N/A</v>
      </c>
    </row>
    <row r="53" spans="1:13" s="61" customFormat="1" ht="18" x14ac:dyDescent="0.35">
      <c r="A53" s="60" t="str">
        <f>IF(B53&lt;&gt;"",COUNTA($B$10:B53),"")</f>
        <v/>
      </c>
      <c r="B53" s="61" t="str">
        <f t="shared" si="9"/>
        <v/>
      </c>
      <c r="C53" s="58" t="str">
        <f t="shared" si="10"/>
        <v/>
      </c>
      <c r="D53" s="58" t="str">
        <f t="shared" si="11"/>
        <v/>
      </c>
      <c r="E53" s="59" t="str">
        <f t="shared" si="12"/>
        <v/>
      </c>
      <c r="F53" s="69" t="e">
        <f>VLOOKUP(I53,BARANGKELUAR!A3:I1048576,9,TRUE)</f>
        <v>#N/A</v>
      </c>
      <c r="G53" s="59" t="e">
        <f>VLOOKUP(I53,BARANGKELUAR!$A$3:$J$1048576,10,TRUE)</f>
        <v>#N/A</v>
      </c>
      <c r="H53" s="59"/>
      <c r="I53" s="62"/>
      <c r="J53" s="73" t="e">
        <f>VLOOKUP(I54,BARANGKELUAR!A3:I1048576,5,TRUE)</f>
        <v>#N/A</v>
      </c>
      <c r="K53" s="57" t="e">
        <f>VLOOKUP(I53,BARANGKELUAR!A3:I1048576,8,TRUE)</f>
        <v>#N/A</v>
      </c>
      <c r="L53" s="57" t="e">
        <f>VLOOKUP(I53,BARANGKELUAR!A3:I1048576,6,TRUE)</f>
        <v>#N/A</v>
      </c>
      <c r="M53" s="75" t="e">
        <f>VLOOKUP(I53,BARANGKELUAR!A3:J1048576,3,FALSE)</f>
        <v>#N/A</v>
      </c>
    </row>
    <row r="54" spans="1:13" s="61" customFormat="1" ht="18" x14ac:dyDescent="0.35">
      <c r="A54" s="60" t="str">
        <f>IF(B54&lt;&gt;"",COUNTA($B$10:B54),"")</f>
        <v/>
      </c>
      <c r="B54" s="61" t="str">
        <f t="shared" si="9"/>
        <v/>
      </c>
      <c r="C54" s="58" t="str">
        <f t="shared" si="10"/>
        <v/>
      </c>
      <c r="D54" s="58" t="str">
        <f t="shared" si="11"/>
        <v/>
      </c>
      <c r="E54" s="59" t="str">
        <f t="shared" si="12"/>
        <v/>
      </c>
      <c r="F54" s="69" t="e">
        <f>VLOOKUP(I54,BARANGKELUAR!A3:I1048576,9,TRUE)</f>
        <v>#N/A</v>
      </c>
      <c r="G54" s="59" t="e">
        <f>VLOOKUP(I54,BARANGKELUAR!$A$3:$J$1048576,10,TRUE)</f>
        <v>#N/A</v>
      </c>
      <c r="H54" s="59"/>
      <c r="I54" s="62"/>
      <c r="J54" s="73" t="e">
        <f>VLOOKUP(I55,BARANGKELUAR!A3:I1048576,5,TRUE)</f>
        <v>#N/A</v>
      </c>
      <c r="K54" s="57" t="e">
        <f>VLOOKUP(I54,BARANGKELUAR!A3:I1048576,8,TRUE)</f>
        <v>#N/A</v>
      </c>
      <c r="L54" s="57" t="e">
        <f>VLOOKUP(I54,BARANGKELUAR!A3:I1048576,6,TRUE)</f>
        <v>#N/A</v>
      </c>
      <c r="M54" s="75" t="e">
        <f>VLOOKUP(I54,BARANGKELUAR!A3:J1048576,3,FALSE)</f>
        <v>#N/A</v>
      </c>
    </row>
    <row r="55" spans="1:13" s="61" customFormat="1" ht="18" x14ac:dyDescent="0.35">
      <c r="A55" s="60" t="str">
        <f>IF(B55&lt;&gt;"",COUNTA($B$10:B55),"")</f>
        <v/>
      </c>
      <c r="B55" s="61" t="str">
        <f t="shared" si="9"/>
        <v/>
      </c>
      <c r="C55" s="58" t="str">
        <f t="shared" si="10"/>
        <v/>
      </c>
      <c r="D55" s="58" t="str">
        <f t="shared" si="11"/>
        <v/>
      </c>
      <c r="E55" s="59" t="str">
        <f t="shared" si="12"/>
        <v/>
      </c>
      <c r="F55" s="69" t="e">
        <f>VLOOKUP(I55,BARANGKELUAR!A3:I1048576,9,TRUE)</f>
        <v>#N/A</v>
      </c>
      <c r="G55" s="59" t="e">
        <f>VLOOKUP(I55,BARANGKELUAR!$A$3:$J$1048576,10,TRUE)</f>
        <v>#N/A</v>
      </c>
      <c r="H55" s="59"/>
      <c r="I55" s="62"/>
      <c r="J55" s="73" t="e">
        <f>VLOOKUP(I56,BARANGKELUAR!A3:I1048576,5,TRUE)</f>
        <v>#N/A</v>
      </c>
      <c r="K55" s="57" t="e">
        <f>VLOOKUP(I55,BARANGKELUAR!A3:I1048576,8,TRUE)</f>
        <v>#N/A</v>
      </c>
      <c r="L55" s="57" t="e">
        <f>VLOOKUP(I55,BARANGKELUAR!A3:I1048576,6,TRUE)</f>
        <v>#N/A</v>
      </c>
      <c r="M55" s="75" t="e">
        <f>VLOOKUP(I55,BARANGKELUAR!A3:J1048576,3,FALSE)</f>
        <v>#N/A</v>
      </c>
    </row>
    <row r="56" spans="1:13" s="61" customFormat="1" ht="18" x14ac:dyDescent="0.35">
      <c r="A56" s="60" t="str">
        <f>IF(B56&lt;&gt;"",COUNTA($B$10:B56),"")</f>
        <v/>
      </c>
      <c r="B56" s="61" t="str">
        <f t="shared" si="9"/>
        <v/>
      </c>
      <c r="C56" s="58" t="str">
        <f t="shared" si="10"/>
        <v/>
      </c>
      <c r="D56" s="58" t="str">
        <f t="shared" si="11"/>
        <v/>
      </c>
      <c r="E56" s="59" t="str">
        <f t="shared" si="12"/>
        <v/>
      </c>
      <c r="F56" s="69" t="e">
        <f>VLOOKUP(I56,BARANGKELUAR!A3:I1048576,9,TRUE)</f>
        <v>#N/A</v>
      </c>
      <c r="G56" s="59" t="e">
        <f>VLOOKUP(I56,BARANGKELUAR!$A$3:$J$1048576,10,TRUE)</f>
        <v>#N/A</v>
      </c>
      <c r="H56" s="59"/>
      <c r="I56" s="62"/>
      <c r="J56" s="73" t="e">
        <f>VLOOKUP(I57,BARANGKELUAR!A3:I1048576,5,TRUE)</f>
        <v>#N/A</v>
      </c>
      <c r="K56" s="57" t="e">
        <f>VLOOKUP(I56,BARANGKELUAR!A3:I1048576,8,TRUE)</f>
        <v>#N/A</v>
      </c>
      <c r="L56" s="57" t="e">
        <f>VLOOKUP(I56,BARANGKELUAR!A3:I1048576,6,TRUE)</f>
        <v>#N/A</v>
      </c>
      <c r="M56" s="75" t="e">
        <f>VLOOKUP(I56,BARANGKELUAR!A3:J1048576,3,FALSE)</f>
        <v>#N/A</v>
      </c>
    </row>
    <row r="57" spans="1:13" s="76" customFormat="1" ht="18" customHeight="1" x14ac:dyDescent="0.35">
      <c r="A57" s="60"/>
      <c r="B57" s="61"/>
      <c r="C57" s="58"/>
      <c r="D57" s="58"/>
      <c r="E57" s="59"/>
      <c r="F57" s="69"/>
      <c r="G57" s="59"/>
      <c r="H57" s="59"/>
      <c r="I57" s="62"/>
      <c r="J57" s="73"/>
      <c r="K57" s="57"/>
      <c r="L57" s="57"/>
      <c r="M57" s="75"/>
    </row>
    <row r="58" spans="1:13" ht="18" x14ac:dyDescent="0.35">
      <c r="A58" s="79"/>
      <c r="B58" s="79"/>
      <c r="F58" s="79" t="s">
        <v>31</v>
      </c>
      <c r="G58" s="79"/>
      <c r="H58" s="79"/>
      <c r="I58" s="63"/>
    </row>
    <row r="59" spans="1:13" ht="18" x14ac:dyDescent="0.35">
      <c r="A59" s="48"/>
      <c r="B59" s="48"/>
      <c r="F59" s="79" t="s">
        <v>387</v>
      </c>
      <c r="G59" s="79"/>
      <c r="H59" s="79"/>
      <c r="I59" s="63"/>
    </row>
    <row r="60" spans="1:13" ht="18" x14ac:dyDescent="0.35">
      <c r="A60" s="48"/>
      <c r="B60" s="48"/>
      <c r="F60" s="79" t="s">
        <v>32</v>
      </c>
      <c r="G60" s="79"/>
      <c r="H60" s="79"/>
      <c r="I60" s="63"/>
    </row>
    <row r="61" spans="1:13" ht="18" x14ac:dyDescent="0.35">
      <c r="A61" s="47"/>
      <c r="B61" s="48"/>
      <c r="F61" s="70"/>
      <c r="G61" s="47"/>
      <c r="H61" s="47"/>
      <c r="I61" s="63"/>
    </row>
    <row r="62" spans="1:13" ht="18" x14ac:dyDescent="0.35">
      <c r="A62" s="48"/>
      <c r="B62" s="48"/>
      <c r="F62" s="70"/>
      <c r="G62" s="47"/>
      <c r="H62" s="47"/>
      <c r="I62" s="63"/>
    </row>
    <row r="63" spans="1:13" ht="17.5" x14ac:dyDescent="0.35">
      <c r="A63" s="48"/>
      <c r="B63" s="48"/>
      <c r="F63" s="70"/>
      <c r="G63" s="47"/>
      <c r="H63" s="47"/>
      <c r="I63" s="64"/>
    </row>
    <row r="64" spans="1:13" ht="18" x14ac:dyDescent="0.35">
      <c r="A64" s="79"/>
      <c r="B64" s="79"/>
      <c r="F64" s="79" t="s">
        <v>992</v>
      </c>
      <c r="G64" s="79"/>
      <c r="H64" s="79"/>
      <c r="I64" s="63"/>
    </row>
    <row r="65" spans="1:9" ht="18" x14ac:dyDescent="0.35">
      <c r="A65" s="48"/>
      <c r="B65" s="48"/>
      <c r="C65" s="51"/>
      <c r="D65" s="51"/>
      <c r="E65" s="51"/>
      <c r="F65" s="67"/>
      <c r="G65" s="51"/>
      <c r="H65" s="51"/>
      <c r="I65" s="63"/>
    </row>
  </sheetData>
  <dataConsolidate/>
  <mergeCells count="7">
    <mergeCell ref="A64:B64"/>
    <mergeCell ref="F64:H64"/>
    <mergeCell ref="A5:H5"/>
    <mergeCell ref="A58:B58"/>
    <mergeCell ref="F58:H58"/>
    <mergeCell ref="F59:H59"/>
    <mergeCell ref="F60:H60"/>
  </mergeCells>
  <conditionalFormatting sqref="N31:XFD56 A10:I31 A32:B33 D32:I33 A34:I57 M10:M57">
    <cfRule type="expression" dxfId="1" priority="2">
      <formula>$A10&lt;&gt;""</formula>
    </cfRule>
  </conditionalFormatting>
  <conditionalFormatting sqref="C32">
    <cfRule type="expression" dxfId="0" priority="4">
      <formula>$A33&lt;&gt;""</formula>
    </cfRule>
  </conditionalFormatting>
  <printOptions horizontalCentered="1"/>
  <pageMargins left="0.393700787" right="0.393700787" top="0.74803149606299202" bottom="0.74803149606299202" header="0.31496062992126" footer="0.31496062992126"/>
  <pageSetup paperSize="9" scale="82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10388D0-53D6-46B3-9C37-A3D274D97E32}">
          <x14:formula1>
            <xm:f>BARANGKELUAR!$E$4:$E$1048576</xm:f>
          </x14:formula1>
          <xm:sqref>N31:XFD56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</vt:i4>
      </vt:variant>
    </vt:vector>
  </HeadingPairs>
  <TitlesOfParts>
    <vt:vector size="23" baseType="lpstr">
      <vt:lpstr>MENU</vt:lpstr>
      <vt:lpstr>DATABARANG</vt:lpstr>
      <vt:lpstr>BARANGMASUK</vt:lpstr>
      <vt:lpstr>BARANGKELUAR</vt:lpstr>
      <vt:lpstr>CARIBARANG</vt:lpstr>
      <vt:lpstr>CARIMASUK</vt:lpstr>
      <vt:lpstr>CARIKELUAR</vt:lpstr>
      <vt:lpstr>TERIMA</vt:lpstr>
      <vt:lpstr>TERIMA NEW</vt:lpstr>
      <vt:lpstr>CARIBARANG!Criteria</vt:lpstr>
      <vt:lpstr>CARIKELUAR!Criteria</vt:lpstr>
      <vt:lpstr>CARIMASUK!Criteria</vt:lpstr>
      <vt:lpstr>DATABARANG!Criteria</vt:lpstr>
      <vt:lpstr>CARIBARANG!Extract</vt:lpstr>
      <vt:lpstr>CARIKELUAR!Extract</vt:lpstr>
      <vt:lpstr>CARIMASUK!Extract</vt:lpstr>
      <vt:lpstr>DATABARANG!Extract</vt:lpstr>
      <vt:lpstr>CARIKELUAR!Print_Area</vt:lpstr>
      <vt:lpstr>CARIMASUK!Print_Area</vt:lpstr>
      <vt:lpstr>TERIMA!Print_Area</vt:lpstr>
      <vt:lpstr>'TERIMA NEW'!Print_Area</vt:lpstr>
      <vt:lpstr>BARANGMASUK!Print_Titles</vt:lpstr>
      <vt:lpstr>'TERIMA NEW'!Print_Titles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Salsabila Putri</cp:lastModifiedBy>
  <cp:lastPrinted>2025-09-22T07:50:42Z</cp:lastPrinted>
  <dcterms:created xsi:type="dcterms:W3CDTF">2021-04-23T01:17:04Z</dcterms:created>
  <dcterms:modified xsi:type="dcterms:W3CDTF">2026-10-09T01:42:01Z</dcterms:modified>
</cp:coreProperties>
</file>